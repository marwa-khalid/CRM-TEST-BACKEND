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C:\Users\ayesha.rana\Desktop\Payment documents\"/>
    </mc:Choice>
  </mc:AlternateContent>
  <xr:revisionPtr revIDLastSave="0" documentId="8_{2DE84A96-716F-4A7E-A429-8D70212D5472}" xr6:coauthVersionLast="47" xr6:coauthVersionMax="47" xr10:uidLastSave="{00000000-0000-0000-0000-000000000000}"/>
  <bookViews>
    <workbookView xWindow="-120" yWindow="-120" windowWidth="24240" windowHeight="13020" xr2:uid="{434717A0-5151-4F91-88E0-F01F8A4C3EF6}"/>
  </bookViews>
  <sheets>
    <sheet name="Sheet1" sheetId="1" r:id="rId1"/>
  </sheets>
  <definedNames>
    <definedName name="_xlnm.Print_Area" localSheetId="0">Sheet1!$A$7:$F$59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3" i="1" l="1"/>
  <c r="E42" i="1"/>
  <c r="F43" i="1"/>
  <c r="D43" i="1"/>
  <c r="C43" i="1"/>
  <c r="C42" i="1"/>
  <c r="D42" i="1"/>
  <c r="F42" i="1"/>
  <c r="E44" i="1"/>
  <c r="E46" i="1"/>
  <c r="F44" i="1"/>
  <c r="F46" i="1"/>
  <c r="D44" i="1"/>
  <c r="D46" i="1"/>
  <c r="C44" i="1"/>
  <c r="C46" i="1"/>
</calcChain>
</file>

<file path=xl/sharedStrings.xml><?xml version="1.0" encoding="utf-8"?>
<sst xmlns="http://schemas.openxmlformats.org/spreadsheetml/2006/main" count="40" uniqueCount="38">
  <si>
    <t xml:space="preserve">Your Insured : </t>
  </si>
  <si>
    <t>Administration fee</t>
  </si>
  <si>
    <t>Repair Cost</t>
  </si>
  <si>
    <t>Sub Total</t>
  </si>
  <si>
    <t>TOTAL</t>
  </si>
  <si>
    <t>The heads of claim consist of the following:-</t>
  </si>
  <si>
    <t>Please make your cheque payable to:</t>
  </si>
  <si>
    <t>VAT</t>
  </si>
  <si>
    <t xml:space="preserve">Your Reference: </t>
  </si>
  <si>
    <t xml:space="preserve">Our Client: </t>
  </si>
  <si>
    <t xml:space="preserve">Our Reference: </t>
  </si>
  <si>
    <t xml:space="preserve">Incident Date: </t>
  </si>
  <si>
    <t>Dear Sirs,</t>
  </si>
  <si>
    <t xml:space="preserve">We refer to the above incident. We intitially advised you of this claim on </t>
  </si>
  <si>
    <t xml:space="preserve">Please find below details of our Client's credit hire and associated losses of claim, with supporting documentation enclosed. </t>
  </si>
  <si>
    <t xml:space="preserve">BHR Basic Hire Rate </t>
  </si>
  <si>
    <t>Hire Amount</t>
  </si>
  <si>
    <t>Engineer's Fee</t>
  </si>
  <si>
    <t>CDW</t>
  </si>
  <si>
    <t>Collection &amp; Delivery Fee</t>
  </si>
  <si>
    <t>Yours faithfully,</t>
  </si>
  <si>
    <t xml:space="preserve">Storage </t>
  </si>
  <si>
    <t>Recovery</t>
  </si>
  <si>
    <t>Plating Costs</t>
  </si>
  <si>
    <r>
      <rPr>
        <b/>
        <u/>
        <sz val="11"/>
        <rFont val="Arial"/>
        <family val="2"/>
      </rPr>
      <t>NON ABI INSURERS PLEASE NOTE:</t>
    </r>
    <r>
      <rPr>
        <b/>
        <sz val="11"/>
        <rFont val="Arial"/>
        <family val="2"/>
      </rPr>
      <t xml:space="preserve"> </t>
    </r>
    <r>
      <rPr>
        <sz val="11"/>
        <rFont val="Arial"/>
        <family val="2"/>
      </rPr>
      <t xml:space="preserve">As you do not subcribe to the ABI GTA our full Basic Hire Rate applies at all times. Settlement should be received stricitly within 30 days from the date of this payment pack.  Should settlement go beyond 30 days from the date of this payment pack our file will be passed to solicitors in order to commence litigation. </t>
    </r>
  </si>
  <si>
    <r>
      <rPr>
        <b/>
        <sz val="11"/>
        <rFont val="Arial"/>
        <family val="2"/>
      </rPr>
      <t>ABI INSURERS PLEASE NOTE:</t>
    </r>
    <r>
      <rPr>
        <sz val="11"/>
        <rFont val="Arial"/>
        <family val="2"/>
      </rPr>
      <t xml:space="preserve"> Should settlement go beyond 60 days from the date of this payment pack this will fall outside of the ABI GTA and our Basic Hire Rate will apply. Our File will be passed to solicitors without any further notices in order to commence litigation. </t>
    </r>
  </si>
  <si>
    <t>&lt; 30 Days ABI Rate</t>
  </si>
  <si>
    <t>If Paid Within 30 Days Discounted To: ABI Rate - 2%</t>
  </si>
  <si>
    <t>31-60 Days Discounted to: ABI Rate + 15% LPPs</t>
  </si>
  <si>
    <t>Valeting Fees Not VAT Applicable)</t>
  </si>
  <si>
    <t>Mr Adnan</t>
  </si>
  <si>
    <t>Alex Berwick</t>
  </si>
  <si>
    <t>28904/Alex Berwick/Alex Berwick</t>
  </si>
  <si>
    <t>Nationwide Assist Ltd</t>
  </si>
  <si>
    <t>Ers Syndicate Services Limited</t>
  </si>
  <si>
    <t>Ers Claims Enquiries</t>
  </si>
  <si>
    <t>24th December 2025</t>
  </si>
  <si>
    <t>Mr Iqbal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</si>
</sst>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76" formatCode="&quot;£&quot;#,##0.00"/>
    <numFmt numFmtId="178" formatCode="dd/mm/yyyy;@"/>
    <numFmt numFmtId="179" formatCode="&quot;£&quot;#,##0.00;[Red]&quot;£&quot;#,##0.00"/>
  </numFmts>
  <fonts count="8" x14ac:knownFonts="1">
    <font>
      <sz val="10"/>
      <name val="Arial"/>
    </font>
    <font>
      <sz val="10"/>
      <name val="Arial"/>
    </font>
    <font>
      <sz val="11"/>
      <name val="Arial"/>
      <family val="2"/>
    </font>
    <font>
      <b/>
      <sz val="11"/>
      <name val="Arial"/>
      <family val="2"/>
    </font>
    <font>
      <b/>
      <sz val="10"/>
      <name val="Arial"/>
      <family val="2"/>
    </font>
    <font>
      <sz val="10"/>
      <name val="Arial"/>
    </font>
    <font>
      <sz val="10"/>
      <name val="Arial"/>
      <family val="2"/>
    </font>
    <font>
      <b/>
      <u/>
      <sz val="11"/>
      <name val="Arial"/>
      <family val="2"/>
    </font>
  </fonts>
  <fills count="5">
    <fill>
      <patternFill patternType="none"/>
    </fill>
    <fill>
      <patternFill patternType="gray125"/>
    </fill>
    <fill>
      <patternFill patternType="solid">
        <fgColor indexed="22"/>
        <bgColor indexed="64"/>
      </patternFill>
    </fill>
    <fill>
      <patternFill patternType="solid">
        <fgColor indexed="55"/>
        <bgColor indexed="64"/>
      </patternFill>
    </fill>
    <fill>
      <patternFill patternType="solid">
        <fgColor indexed="2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44" fontId="5" fillId="0" borderId="0" applyFont="0" applyFill="0" applyBorder="0" applyAlignment="0" applyProtection="0"/>
  </cellStyleXfs>
  <cellXfs count="40">
    <xf numFmtId="0" fontId="0" fillId="0" borderId="0" xfId="0"/>
    <xf numFmtId="0" fontId="2" fillId="0" borderId="0" xfId="0" applyFont="1" applyAlignment="1">
      <alignment horizontal="justify"/>
    </xf>
    <xf numFmtId="0" fontId="3" fillId="0" borderId="0" xfId="0" applyFont="1" applyAlignment="1">
      <alignment horizontal="justify"/>
    </xf>
    <xf numFmtId="0" fontId="2" fillId="0" borderId="0" xfId="0" applyFont="1" applyAlignment="1">
      <alignment horizontal="center"/>
    </xf>
    <xf numFmtId="0" fontId="0" fillId="0" borderId="0" xfId="0" applyAlignment="1">
      <alignment horizontal="center"/>
    </xf>
    <xf numFmtId="0" fontId="4" fillId="0" borderId="0" xfId="0" applyFont="1" applyAlignment="1">
      <alignment horizontal="center"/>
    </xf>
    <xf numFmtId="0" fontId="3" fillId="0" borderId="0" xfId="0" applyFont="1" applyAlignment="1">
      <alignment horizontal="left"/>
    </xf>
    <xf numFmtId="0" fontId="2" fillId="0" borderId="0" xfId="0" applyFont="1" applyAlignment="1"/>
    <xf numFmtId="0" fontId="3" fillId="0" borderId="0" xfId="0" applyFont="1" applyAlignment="1"/>
    <xf numFmtId="0" fontId="0" fillId="0" borderId="0" xfId="0" applyAlignment="1">
      <alignment horizontal="center" vertical="center"/>
    </xf>
    <xf numFmtId="0" fontId="4" fillId="0" borderId="0" xfId="0" applyFont="1" applyAlignment="1">
      <alignment horizontal="center" vertical="center"/>
    </xf>
    <xf numFmtId="0" fontId="4" fillId="0" borderId="0" xfId="0" applyFont="1" applyAlignment="1">
      <alignment horizontal="left"/>
    </xf>
    <xf numFmtId="0" fontId="2" fillId="0" borderId="0" xfId="0" applyFont="1" applyAlignment="1">
      <alignment horizontal="left" wrapText="1"/>
    </xf>
    <xf numFmtId="0" fontId="6" fillId="0" borderId="0" xfId="0" applyFont="1" applyAlignment="1">
      <alignment horizontal="center"/>
    </xf>
    <xf numFmtId="0" fontId="6" fillId="0" borderId="0" xfId="0" applyFont="1" applyAlignment="1">
      <alignment horizontal="left"/>
    </xf>
    <xf numFmtId="0" fontId="6" fillId="0" borderId="0" xfId="0" applyFont="1" applyAlignment="1">
      <alignment wrapText="1"/>
    </xf>
    <xf numFmtId="0" fontId="0" fillId="0" borderId="0" xfId="0" applyAlignment="1">
      <alignment wrapText="1"/>
    </xf>
    <xf numFmtId="0" fontId="6" fillId="0" borderId="0" xfId="0" applyFont="1" applyAlignment="1">
      <alignment horizontal="justify"/>
    </xf>
    <xf numFmtId="0" fontId="2" fillId="0" borderId="0" xfId="0" applyFont="1"/>
    <xf numFmtId="0" fontId="3" fillId="2" borderId="1" xfId="0" applyFont="1" applyFill="1" applyBorder="1" applyAlignment="1">
      <alignment horizontal="center" wrapText="1"/>
    </xf>
    <xf numFmtId="0" fontId="6"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176" fontId="3" fillId="4" borderId="1" xfId="1" applyNumberFormat="1" applyFont="1" applyFill="1" applyBorder="1" applyAlignment="1">
      <alignment horizontal="center" vertical="center" wrapText="1"/>
    </xf>
    <xf numFmtId="176" fontId="3" fillId="2" borderId="1" xfId="1" applyNumberFormat="1" applyFont="1" applyFill="1" applyBorder="1" applyAlignment="1">
      <alignment horizontal="center" vertical="center" wrapText="1"/>
    </xf>
    <xf numFmtId="176" fontId="3" fillId="3" borderId="1" xfId="1" applyNumberFormat="1" applyFont="1" applyFill="1" applyBorder="1" applyAlignment="1">
      <alignment horizontal="center" vertical="center" wrapText="1"/>
    </xf>
    <xf numFmtId="178" fontId="6" fillId="0" borderId="0" xfId="0" applyNumberFormat="1" applyFont="1" applyAlignment="1">
      <alignment horizontal="left"/>
    </xf>
    <xf numFmtId="179" fontId="2" fillId="0" borderId="1" xfId="1"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79" fontId="3" fillId="3" borderId="1" xfId="1" applyNumberFormat="1" applyFont="1" applyFill="1" applyBorder="1" applyAlignment="1">
      <alignment horizontal="center" vertical="center" wrapText="1"/>
    </xf>
    <xf numFmtId="176" fontId="3" fillId="4" borderId="1" xfId="2" applyNumberFormat="1" applyFont="1" applyFill="1" applyBorder="1" applyAlignment="1">
      <alignment horizontal="center" vertical="center" wrapText="1"/>
    </xf>
    <xf numFmtId="179" fontId="2" fillId="0" borderId="1" xfId="2" applyNumberFormat="1" applyFont="1" applyFill="1" applyBorder="1" applyAlignment="1">
      <alignment horizontal="center" vertical="center" wrapText="1"/>
    </xf>
    <xf numFmtId="0" fontId="6" fillId="0" borderId="0" xfId="0" applyFont="1" applyAlignment="1">
      <alignment horizontal="left"/>
    </xf>
    <xf numFmtId="0" fontId="6" fillId="0" borderId="0" xfId="0" applyFont="1" applyAlignment="1">
      <alignment horizontal="left" wrapText="1"/>
    </xf>
    <xf numFmtId="0" fontId="2" fillId="0" borderId="0" xfId="0" applyFont="1" applyAlignment="1">
      <alignment horizontal="left" wrapText="1"/>
    </xf>
    <xf numFmtId="0" fontId="3" fillId="0" borderId="0" xfId="0" applyFont="1" applyAlignment="1">
      <alignment horizontal="left"/>
    </xf>
    <xf numFmtId="178" fontId="6" fillId="0" borderId="0" xfId="0" applyNumberFormat="1" applyFont="1" applyAlignment="1">
      <alignment horizontal="left"/>
    </xf>
    <xf numFmtId="0" fontId="6" fillId="0" borderId="0" xfId="0" applyFont="1" applyAlignment="1">
      <alignment wrapText="1"/>
    </xf>
    <xf numFmtId="0" fontId="3" fillId="0" borderId="0" xfId="0" applyFont="1" applyAlignment="1">
      <alignment horizontal="left" wrapText="1"/>
    </xf>
  </cellXfs>
  <cellStyles count="3">
    <cellStyle name="Currency" xfId="1" builtinId="4"/>
    <cellStyle name="Currency 2" xfId="2" xr:uid="{AD7C9133-B1D8-4BAD-A8A0-DCCA22A7C30D}"/>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F53A3-25AD-4F87-B814-1B2A96CD620C}">
  <dimension ref="A7:G63"/>
  <sheetViews>
    <sheetView tabSelected="1" workbookViewId="0">
      <selection activeCell="A38" sqref="A38:IV38"/>
    </sheetView>
  </sheetViews>
  <sheetFormatPr defaultColWidth="57.140625" defaultRowHeight="12.75" x14ac:dyDescent="0.2"/>
  <cols>
    <col min="1" max="1" width="9.140625" customWidth="1"/>
    <col min="2" max="2" width="22" customWidth="1"/>
    <col min="3" max="3" width="14.85546875" style="4" customWidth="1"/>
    <col min="4" max="6" width="13.140625" style="4" customWidth="1"/>
  </cols>
  <sheetData>
    <row r="7" spans="2:6" x14ac:dyDescent="0.2">
      <c r="B7" s="33" t="s">
        <v>34</v>
      </c>
      <c r="C7" s="33"/>
      <c r="D7" s="13"/>
      <c r="E7" s="13"/>
      <c r="F7" s="13"/>
    </row>
    <row r="8" spans="2:6" x14ac:dyDescent="0.2">
      <c r="B8" s="33" t="s">
        <v>35</v>
      </c>
      <c r="C8" s="33"/>
      <c r="D8" s="13"/>
      <c r="E8" s="13"/>
      <c r="F8" s="13"/>
    </row>
    <row r="9" spans="2:6" x14ac:dyDescent="0.2">
      <c r="B9" s="33"/>
      <c r="C9" s="33"/>
      <c r="D9" s="13"/>
      <c r="E9" s="13"/>
      <c r="F9" s="13"/>
    </row>
    <row r="10" spans="2:6" x14ac:dyDescent="0.2">
      <c r="B10" s="33"/>
      <c r="C10" s="33"/>
      <c r="D10" s="13"/>
      <c r="E10" s="13"/>
      <c r="F10" s="13"/>
    </row>
    <row r="11" spans="2:6" x14ac:dyDescent="0.2">
      <c r="B11" s="33"/>
      <c r="C11" s="33"/>
      <c r="D11" s="13"/>
      <c r="E11" s="13"/>
      <c r="F11" s="13"/>
    </row>
    <row r="12" spans="2:6" x14ac:dyDescent="0.2">
      <c r="B12" s="33"/>
      <c r="C12" s="33"/>
      <c r="D12" s="13"/>
      <c r="E12" s="13"/>
      <c r="F12" s="13"/>
    </row>
    <row r="13" spans="2:6" x14ac:dyDescent="0.2">
      <c r="B13" s="33"/>
      <c r="C13" s="33"/>
      <c r="D13" s="13"/>
      <c r="E13" s="13"/>
      <c r="F13" s="13"/>
    </row>
    <row r="14" spans="2:6" x14ac:dyDescent="0.2">
      <c r="B14" s="17"/>
      <c r="C14" s="13"/>
      <c r="D14" s="13"/>
      <c r="E14" s="13"/>
      <c r="F14" s="13"/>
    </row>
    <row r="15" spans="2:6" x14ac:dyDescent="0.2">
      <c r="B15" s="33" t="s">
        <v>36</v>
      </c>
      <c r="C15" s="33"/>
      <c r="D15" s="13"/>
      <c r="E15" s="13"/>
      <c r="F15" s="13"/>
    </row>
    <row r="16" spans="2:6" x14ac:dyDescent="0.2">
      <c r="B16" s="17"/>
      <c r="C16" s="13"/>
      <c r="D16" s="13"/>
      <c r="E16" s="13"/>
      <c r="F16" s="13"/>
    </row>
    <row r="17" spans="2:7" x14ac:dyDescent="0.2">
      <c r="B17" s="17" t="s">
        <v>0</v>
      </c>
      <c r="C17" s="14" t="s">
        <v>37</v>
      </c>
      <c r="D17" s="13"/>
      <c r="E17" s="13"/>
      <c r="F17" s="13"/>
    </row>
    <row r="18" spans="2:7" x14ac:dyDescent="0.2">
      <c r="B18" s="17" t="s">
        <v>8</v>
      </c>
      <c r="C18" s="14"/>
      <c r="D18" s="13"/>
      <c r="E18" s="13"/>
      <c r="F18" s="13"/>
    </row>
    <row r="19" spans="2:7" ht="14.25" x14ac:dyDescent="0.2">
      <c r="B19" s="17" t="s">
        <v>9</v>
      </c>
      <c r="C19" s="14" t="s">
        <v>30</v>
      </c>
      <c r="D19" s="13"/>
      <c r="E19" s="13"/>
      <c r="F19" s="13"/>
      <c r="G19" s="18"/>
    </row>
    <row r="20" spans="2:7" x14ac:dyDescent="0.2">
      <c r="B20" s="17" t="s">
        <v>10</v>
      </c>
      <c r="C20" s="14" t="s">
        <v>32</v>
      </c>
      <c r="D20" s="13"/>
      <c r="E20" s="13"/>
      <c r="F20" s="13"/>
    </row>
    <row r="21" spans="2:7" x14ac:dyDescent="0.2">
      <c r="B21" s="17" t="s">
        <v>11</v>
      </c>
      <c r="C21" s="37">
        <v>45977</v>
      </c>
      <c r="D21" s="37"/>
      <c r="E21" s="27"/>
      <c r="F21" s="13"/>
    </row>
    <row r="22" spans="2:7" x14ac:dyDescent="0.2">
      <c r="B22" s="33"/>
      <c r="C22" s="33"/>
      <c r="D22" s="13"/>
      <c r="E22" s="13"/>
      <c r="F22" s="13"/>
    </row>
    <row r="23" spans="2:7" x14ac:dyDescent="0.2">
      <c r="B23" s="17" t="s">
        <v>12</v>
      </c>
      <c r="C23" s="13"/>
      <c r="D23" s="13"/>
      <c r="E23" s="13"/>
      <c r="F23" s="13"/>
    </row>
    <row r="24" spans="2:7" x14ac:dyDescent="0.2">
      <c r="B24" s="17"/>
      <c r="C24" s="13"/>
      <c r="D24" s="13"/>
      <c r="E24" s="13"/>
      <c r="F24" s="13"/>
    </row>
    <row r="25" spans="2:7" ht="15.75" customHeight="1" x14ac:dyDescent="0.2">
      <c r="B25" s="34" t="s">
        <v>13</v>
      </c>
      <c r="C25" s="34"/>
      <c r="D25" s="34"/>
      <c r="E25" s="34"/>
      <c r="F25" s="34"/>
    </row>
    <row r="26" spans="2:7" ht="18" customHeight="1" x14ac:dyDescent="0.2">
      <c r="B26" s="27">
        <v>45980</v>
      </c>
      <c r="C26" s="14"/>
      <c r="D26" s="14"/>
      <c r="E26" s="14"/>
      <c r="F26" s="13"/>
    </row>
    <row r="27" spans="2:7" x14ac:dyDescent="0.2">
      <c r="B27" s="13"/>
      <c r="C27" s="13"/>
      <c r="D27" s="13"/>
      <c r="E27" s="13"/>
      <c r="F27" s="13"/>
    </row>
    <row r="28" spans="2:7" ht="25.5" customHeight="1" x14ac:dyDescent="0.2">
      <c r="B28" s="38" t="s">
        <v>14</v>
      </c>
      <c r="C28" s="38"/>
      <c r="D28" s="38"/>
      <c r="E28" s="38"/>
      <c r="F28" s="38"/>
    </row>
    <row r="29" spans="2:7" ht="17.25" customHeight="1" x14ac:dyDescent="0.2">
      <c r="B29" s="15"/>
      <c r="C29" s="16"/>
      <c r="D29" s="16"/>
      <c r="E29" s="16"/>
      <c r="F29" s="16"/>
    </row>
    <row r="30" spans="2:7" ht="15" x14ac:dyDescent="0.25">
      <c r="B30" s="8" t="s">
        <v>5</v>
      </c>
      <c r="C30" s="7"/>
    </row>
    <row r="31" spans="2:7" ht="14.25" x14ac:dyDescent="0.2">
      <c r="B31" s="1"/>
    </row>
    <row r="32" spans="2:7" s="5" customFormat="1" ht="65.25" customHeight="1" x14ac:dyDescent="0.25">
      <c r="B32" s="19"/>
      <c r="C32" s="29" t="s">
        <v>15</v>
      </c>
      <c r="D32" s="29" t="s">
        <v>26</v>
      </c>
      <c r="E32" s="29" t="s">
        <v>27</v>
      </c>
      <c r="F32" s="29" t="s">
        <v>28</v>
      </c>
    </row>
    <row r="33" spans="1:6" s="9" customFormat="1" ht="16.5" customHeight="1" x14ac:dyDescent="0.2">
      <c r="B33" s="20" t="s">
        <v>16</v>
      </c>
      <c r="C33" s="28">
        <v>6751.15</v>
      </c>
      <c r="D33" s="28">
        <v>5000.8</v>
      </c>
      <c r="E33" s="28">
        <v>4902.8</v>
      </c>
      <c r="F33" s="28">
        <v>5750.85</v>
      </c>
    </row>
    <row r="34" spans="1:6" s="9" customFormat="1" ht="15" customHeight="1" x14ac:dyDescent="0.2">
      <c r="B34" s="20" t="s">
        <v>1</v>
      </c>
      <c r="C34" s="28">
        <v>60</v>
      </c>
      <c r="D34" s="28">
        <v>37</v>
      </c>
      <c r="E34" s="28">
        <v>36.270000000000003</v>
      </c>
      <c r="F34" s="28">
        <v>42.55</v>
      </c>
    </row>
    <row r="35" spans="1:6" s="9" customFormat="1" ht="15" customHeight="1" x14ac:dyDescent="0.2">
      <c r="B35" s="20" t="s">
        <v>2</v>
      </c>
      <c r="C35" s="28">
        <v>0</v>
      </c>
      <c r="D35" s="28">
        <v>0</v>
      </c>
      <c r="E35" s="28">
        <v>0</v>
      </c>
      <c r="F35" s="28">
        <v>0</v>
      </c>
    </row>
    <row r="36" spans="1:6" s="9" customFormat="1" ht="15" customHeight="1" x14ac:dyDescent="0.2">
      <c r="B36" s="20" t="s">
        <v>21</v>
      </c>
      <c r="C36" s="28">
        <v>0</v>
      </c>
      <c r="D36" s="28">
        <v>0</v>
      </c>
      <c r="E36" s="28">
        <v>0</v>
      </c>
      <c r="F36" s="28">
        <v>0</v>
      </c>
    </row>
    <row r="37" spans="1:6" s="9" customFormat="1" ht="15" customHeight="1" x14ac:dyDescent="0.2">
      <c r="B37" s="20" t="s">
        <v>22</v>
      </c>
      <c r="C37" s="28">
        <v>0</v>
      </c>
      <c r="D37" s="28">
        <v>0</v>
      </c>
      <c r="E37" s="28">
        <v>0</v>
      </c>
      <c r="F37" s="28">
        <v>0</v>
      </c>
    </row>
    <row r="38" spans="1:6" s="9" customFormat="1" ht="15" customHeight="1" x14ac:dyDescent="0.2">
      <c r="B38" s="20" t="s">
        <v>23</v>
      </c>
      <c r="C38" s="28">
        <v>0</v>
      </c>
      <c r="D38" s="28">
        <v>0</v>
      </c>
      <c r="E38" s="28">
        <v>0</v>
      </c>
      <c r="F38" s="28">
        <v>0</v>
      </c>
    </row>
    <row r="39" spans="1:6" s="9" customFormat="1" ht="15" customHeight="1" x14ac:dyDescent="0.2">
      <c r="B39" s="20" t="s">
        <v>17</v>
      </c>
      <c r="C39" s="28">
        <v>0</v>
      </c>
      <c r="D39" s="28">
        <v>0</v>
      </c>
      <c r="E39" s="28">
        <v>0</v>
      </c>
      <c r="F39" s="28">
        <v>0</v>
      </c>
    </row>
    <row r="40" spans="1:6" s="9" customFormat="1" ht="15" customHeight="1" x14ac:dyDescent="0.2">
      <c r="B40" s="20" t="s">
        <v>18</v>
      </c>
      <c r="C40" s="28">
        <v>525</v>
      </c>
      <c r="D40" s="28">
        <v>0</v>
      </c>
      <c r="E40" s="28">
        <v>0</v>
      </c>
      <c r="F40" s="28">
        <v>0</v>
      </c>
    </row>
    <row r="41" spans="1:6" s="9" customFormat="1" ht="15" customHeight="1" x14ac:dyDescent="0.2">
      <c r="B41" s="20" t="s">
        <v>19</v>
      </c>
      <c r="C41" s="28">
        <v>60</v>
      </c>
      <c r="D41" s="28">
        <v>0</v>
      </c>
      <c r="E41" s="28">
        <v>0</v>
      </c>
      <c r="F41" s="28">
        <v>0</v>
      </c>
    </row>
    <row r="42" spans="1:6" s="10" customFormat="1" ht="13.5" customHeight="1" x14ac:dyDescent="0.2">
      <c r="B42" s="21" t="s">
        <v>3</v>
      </c>
      <c r="C42" s="25">
        <f>SUM(C33:C41)</f>
        <v>7396.15</v>
      </c>
      <c r="D42" s="25">
        <f>SUM(D33:D41)</f>
        <v>5037.8</v>
      </c>
      <c r="E42" s="25">
        <f>SUM(E33:E41)</f>
        <v>4939.0700000000006</v>
      </c>
      <c r="F42" s="25">
        <f>SUM(F33:F41)</f>
        <v>5793.4000000000005</v>
      </c>
    </row>
    <row r="43" spans="1:6" s="10" customFormat="1" ht="13.5" customHeight="1" x14ac:dyDescent="0.2">
      <c r="B43" s="22" t="s">
        <v>7</v>
      </c>
      <c r="C43" s="30">
        <f>SUM(C33:C34:C35:C36:C37:C37:C39:C40:C41)*0.2</f>
        <v>1479.23</v>
      </c>
      <c r="D43" s="26">
        <f>SUM(D33:D34:D35:D36:D37:D37:D39:D40:D41)*0.2</f>
        <v>1007.5600000000001</v>
      </c>
      <c r="E43" s="26">
        <f>SUM(E33:E34:E35:E36:E37:E37:E39:E40:E41)*0.2</f>
        <v>987.81400000000019</v>
      </c>
      <c r="F43" s="26">
        <f>SUM(F33:F34:F35:F36:F37:F37:F39:F40:F41)*0.2</f>
        <v>1158.68</v>
      </c>
    </row>
    <row r="44" spans="1:6" s="10" customFormat="1" ht="13.5" customHeight="1" x14ac:dyDescent="0.2">
      <c r="B44" s="23" t="s">
        <v>4</v>
      </c>
      <c r="C44" s="24">
        <f>SUM(C42:C43)</f>
        <v>8875.3799999999992</v>
      </c>
      <c r="D44" s="24">
        <f>SUM(D42:D43)</f>
        <v>6045.3600000000006</v>
      </c>
      <c r="E44" s="24">
        <f>SUM(E42:E43)</f>
        <v>5926.8840000000009</v>
      </c>
      <c r="F44" s="24">
        <f>SUM(F42:F43)</f>
        <v>6952.0800000000008</v>
      </c>
    </row>
    <row r="45" spans="1:6" s="10" customFormat="1" ht="28.5" customHeight="1" x14ac:dyDescent="0.2">
      <c r="B45" s="20" t="s">
        <v>29</v>
      </c>
      <c r="C45" s="32">
        <v>0</v>
      </c>
      <c r="D45" s="32">
        <v>0</v>
      </c>
      <c r="E45" s="32">
        <v>0</v>
      </c>
      <c r="F45" s="32">
        <v>0</v>
      </c>
    </row>
    <row r="46" spans="1:6" s="10" customFormat="1" ht="13.5" customHeight="1" x14ac:dyDescent="0.2">
      <c r="B46" s="23" t="s">
        <v>4</v>
      </c>
      <c r="C46" s="31">
        <f>C44+C45</f>
        <v>8875.3799999999992</v>
      </c>
      <c r="D46" s="31">
        <f>D44+D45</f>
        <v>6045.3600000000006</v>
      </c>
      <c r="E46" s="31">
        <f>E44+E45</f>
        <v>5926.8840000000009</v>
      </c>
      <c r="F46" s="31">
        <f>F44+F45</f>
        <v>6952.0800000000008</v>
      </c>
    </row>
    <row r="47" spans="1:6" ht="14.25" x14ac:dyDescent="0.2">
      <c r="A47" s="4"/>
      <c r="B47" s="3"/>
    </row>
    <row r="48" spans="1:6" ht="14.25" x14ac:dyDescent="0.2">
      <c r="A48" s="4"/>
      <c r="B48" s="3"/>
    </row>
    <row r="49" spans="2:6" ht="59.25" customHeight="1" x14ac:dyDescent="0.2">
      <c r="B49" s="35" t="s">
        <v>25</v>
      </c>
      <c r="C49" s="35"/>
      <c r="D49" s="35"/>
      <c r="E49" s="35"/>
      <c r="F49" s="35"/>
    </row>
    <row r="50" spans="2:6" ht="11.25" customHeight="1" x14ac:dyDescent="0.2">
      <c r="B50" s="12"/>
      <c r="C50" s="12"/>
      <c r="D50" s="12"/>
      <c r="E50" s="12"/>
      <c r="F50" s="12"/>
    </row>
    <row r="51" spans="2:6" ht="78.75" customHeight="1" x14ac:dyDescent="0.2">
      <c r="B51" s="39" t="s">
        <v>24</v>
      </c>
      <c r="C51" s="35"/>
      <c r="D51" s="35"/>
      <c r="E51" s="35"/>
      <c r="F51" s="35"/>
    </row>
    <row r="52" spans="2:6" ht="12.75" customHeight="1" x14ac:dyDescent="0.2">
      <c r="B52" s="12"/>
      <c r="C52" s="12"/>
      <c r="D52" s="12"/>
      <c r="E52" s="12"/>
      <c r="F52" s="12"/>
    </row>
    <row r="53" spans="2:6" ht="15" x14ac:dyDescent="0.25">
      <c r="B53" s="6" t="s">
        <v>6</v>
      </c>
      <c r="C53" s="8"/>
      <c r="D53" s="11"/>
      <c r="E53" s="11"/>
      <c r="F53" s="5" t="s">
        <v>33</v>
      </c>
    </row>
    <row r="54" spans="2:6" ht="14.25" x14ac:dyDescent="0.2">
      <c r="B54" s="1"/>
    </row>
    <row r="55" spans="2:6" ht="14.25" x14ac:dyDescent="0.2">
      <c r="B55" s="1" t="s">
        <v>20</v>
      </c>
    </row>
    <row r="56" spans="2:6" ht="14.25" x14ac:dyDescent="0.2">
      <c r="B56" s="1"/>
    </row>
    <row r="57" spans="2:6" ht="14.25" x14ac:dyDescent="0.2">
      <c r="B57" s="1"/>
    </row>
    <row r="58" spans="2:6" ht="15" x14ac:dyDescent="0.25">
      <c r="B58" s="36" t="s">
        <v>31</v>
      </c>
      <c r="C58" s="36"/>
    </row>
    <row r="59" spans="2:6" ht="15" x14ac:dyDescent="0.25">
      <c r="B59" s="36" t="s">
        <v>33</v>
      </c>
      <c r="C59" s="36"/>
    </row>
    <row r="60" spans="2:6" ht="15" x14ac:dyDescent="0.25">
      <c r="B60" s="2"/>
    </row>
    <row r="61" spans="2:6" ht="14.25" x14ac:dyDescent="0.2">
      <c r="B61" s="1"/>
    </row>
    <row r="62" spans="2:6" ht="14.25" x14ac:dyDescent="0.2">
      <c r="B62" s="1"/>
    </row>
    <row r="63" spans="2:6" ht="14.25" x14ac:dyDescent="0.2">
      <c r="B63" s="1"/>
    </row>
  </sheetData>
  <mergeCells count="16">
    <mergeCell ref="B13:C13"/>
    <mergeCell ref="B15:C15"/>
    <mergeCell ref="B25:F25"/>
    <mergeCell ref="B49:F49"/>
    <mergeCell ref="B58:C58"/>
    <mergeCell ref="B59:C59"/>
    <mergeCell ref="C21:D21"/>
    <mergeCell ref="B28:F28"/>
    <mergeCell ref="B51:F51"/>
    <mergeCell ref="B22:C22"/>
    <mergeCell ref="B7:C7"/>
    <mergeCell ref="B8:C8"/>
    <mergeCell ref="B9:C9"/>
    <mergeCell ref="B10:C10"/>
    <mergeCell ref="B11:C11"/>
    <mergeCell ref="B12:C12"/>
  </mergeCells>
  <phoneticPr fontId="0" type="noConversion"/>
  <pageMargins left="0.75" right="0.75" top="1" bottom="1" header="0.5" footer="0.5"/>
  <pageSetup paperSize="9"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Eclipse Legal Systems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maggie</dc:creator>
  <cp:lastModifiedBy>Ayesha Rana</cp:lastModifiedBy>
  <dcterms:created xsi:type="dcterms:W3CDTF">2004-01-05T13:41:45Z</dcterms:created>
  <dcterms:modified xsi:type="dcterms:W3CDTF">2026-02-03T14:46:35Z</dcterms:modified>
</cp:coreProperties>
</file>