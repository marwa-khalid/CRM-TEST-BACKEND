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esha.rana\Desktop\MVP ABI &amp; BHR Rates\"/>
    </mc:Choice>
  </mc:AlternateContent>
  <xr:revisionPtr revIDLastSave="0" documentId="13_ncr:1_{EA0D2E45-62BA-4E3C-8912-065D12171203}" xr6:coauthVersionLast="47" xr6:coauthVersionMax="47" xr10:uidLastSave="{00000000-0000-0000-0000-000000000000}"/>
  <bookViews>
    <workbookView xWindow="-120" yWindow="-120" windowWidth="24240" windowHeight="13020" xr2:uid="{F184E6F3-DE1D-4B9C-81B8-188E4678E3FC}"/>
  </bookViews>
  <sheets>
    <sheet name="Standard" sheetId="1" r:id="rId1"/>
    <sheet name="MVP" sheetId="2" r:id="rId2"/>
    <sheet name="4 by 4" sheetId="3" r:id="rId3"/>
    <sheet name="Prestige" sheetId="4" r:id="rId4"/>
    <sheet name="Sports" sheetId="5" r:id="rId5"/>
    <sheet name="Private Hire Or Tax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11" i="5"/>
  <c r="G12" i="5"/>
  <c r="G17" i="5"/>
  <c r="G18" i="5"/>
  <c r="G19" i="5"/>
  <c r="G25" i="5"/>
  <c r="G28" i="5"/>
  <c r="G29" i="5"/>
  <c r="G30" i="5"/>
  <c r="G31" i="5"/>
  <c r="G37" i="5"/>
  <c r="G38" i="5"/>
  <c r="G46" i="5"/>
  <c r="G47" i="5"/>
  <c r="G48" i="5"/>
  <c r="G49" i="5"/>
  <c r="G50" i="5"/>
  <c r="G51" i="5"/>
  <c r="G52" i="5"/>
  <c r="G53" i="5"/>
  <c r="G56" i="5"/>
  <c r="G57" i="5"/>
  <c r="G58" i="5"/>
  <c r="G59" i="5"/>
  <c r="G60" i="5"/>
  <c r="G6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2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" i="4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2" i="6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2" i="1"/>
  <c r="J3" i="6"/>
  <c r="J4" i="6"/>
  <c r="J7" i="6"/>
  <c r="J8" i="6"/>
  <c r="J11" i="6"/>
  <c r="J12" i="6"/>
  <c r="J15" i="6"/>
  <c r="J16" i="6"/>
  <c r="J19" i="6"/>
  <c r="J20" i="6"/>
  <c r="J24" i="6"/>
  <c r="J28" i="6"/>
  <c r="H4" i="5"/>
  <c r="H12" i="5"/>
  <c r="H13" i="5"/>
  <c r="H16" i="5"/>
  <c r="H20" i="5"/>
  <c r="H25" i="5"/>
  <c r="H36" i="5"/>
  <c r="H37" i="5"/>
  <c r="H40" i="5"/>
  <c r="H41" i="5"/>
  <c r="H44" i="5"/>
  <c r="H52" i="5"/>
  <c r="H53" i="5"/>
  <c r="H56" i="5"/>
  <c r="H57" i="5"/>
  <c r="H60" i="5"/>
  <c r="H61" i="5"/>
  <c r="H64" i="5"/>
  <c r="H72" i="5"/>
  <c r="H73" i="5"/>
  <c r="H76" i="5"/>
  <c r="H77" i="5"/>
  <c r="H80" i="5"/>
  <c r="H81" i="5"/>
  <c r="H84" i="5"/>
  <c r="H85" i="5"/>
  <c r="H88" i="5"/>
  <c r="H89" i="5"/>
  <c r="H92" i="5"/>
  <c r="H93" i="5"/>
  <c r="H96" i="5"/>
  <c r="H97" i="5"/>
  <c r="H100" i="5"/>
  <c r="H101" i="5"/>
  <c r="H104" i="5"/>
  <c r="H105" i="5"/>
  <c r="H108" i="5"/>
  <c r="H109" i="5"/>
  <c r="H112" i="5"/>
  <c r="H113" i="5"/>
  <c r="H116" i="5"/>
  <c r="H117" i="5"/>
  <c r="H120" i="5"/>
  <c r="H121" i="5"/>
  <c r="H124" i="5"/>
  <c r="H125" i="5"/>
  <c r="H128" i="5"/>
  <c r="H129" i="5"/>
  <c r="H132" i="5"/>
  <c r="H133" i="5"/>
  <c r="H136" i="5"/>
  <c r="H137" i="5"/>
  <c r="H140" i="5"/>
  <c r="H141" i="5"/>
  <c r="H144" i="5"/>
  <c r="H145" i="5"/>
  <c r="H148" i="5"/>
  <c r="H149" i="5"/>
  <c r="H152" i="5"/>
  <c r="H153" i="5"/>
  <c r="H156" i="5"/>
  <c r="H157" i="5"/>
  <c r="H160" i="5"/>
  <c r="H161" i="5"/>
  <c r="H164" i="5"/>
  <c r="H165" i="5"/>
  <c r="H168" i="5"/>
  <c r="H169" i="5"/>
  <c r="H172" i="5"/>
  <c r="H173" i="5"/>
  <c r="H176" i="5"/>
  <c r="H177" i="5"/>
  <c r="H180" i="5"/>
  <c r="H181" i="5"/>
  <c r="H184" i="5"/>
  <c r="H185" i="5"/>
  <c r="H188" i="5"/>
  <c r="H189" i="5"/>
  <c r="H192" i="5"/>
  <c r="H193" i="5"/>
  <c r="H196" i="5"/>
  <c r="H197" i="5"/>
  <c r="H200" i="5"/>
  <c r="H201" i="5"/>
  <c r="H204" i="5"/>
  <c r="H205" i="5"/>
  <c r="H208" i="5"/>
  <c r="H209" i="5"/>
  <c r="H2" i="5"/>
  <c r="H121" i="4"/>
  <c r="H177" i="4"/>
  <c r="H189" i="4"/>
  <c r="H193" i="4"/>
  <c r="H6" i="2"/>
  <c r="H10" i="2"/>
  <c r="H14" i="2"/>
  <c r="H18" i="2"/>
  <c r="H22" i="2"/>
  <c r="H26" i="2"/>
  <c r="H30" i="2"/>
  <c r="H34" i="2"/>
  <c r="H38" i="2"/>
  <c r="H42" i="2"/>
  <c r="H46" i="2"/>
  <c r="H50" i="2"/>
  <c r="H54" i="2"/>
  <c r="H58" i="2"/>
  <c r="H62" i="2"/>
  <c r="H66" i="2"/>
  <c r="H70" i="2"/>
  <c r="H74" i="2"/>
  <c r="H78" i="2"/>
  <c r="H82" i="2"/>
  <c r="H86" i="2"/>
  <c r="H90" i="2"/>
  <c r="H7" i="1"/>
  <c r="H10" i="1"/>
  <c r="H11" i="1"/>
  <c r="H14" i="1"/>
  <c r="H15" i="1"/>
  <c r="H18" i="1"/>
  <c r="H19" i="1"/>
  <c r="H22" i="1"/>
  <c r="H23" i="1"/>
  <c r="H26" i="1"/>
  <c r="H27" i="1"/>
  <c r="H30" i="1"/>
  <c r="H31" i="1"/>
  <c r="H34" i="1"/>
  <c r="H35" i="1"/>
  <c r="H38" i="1"/>
  <c r="H39" i="1"/>
  <c r="H42" i="1"/>
  <c r="H43" i="1"/>
  <c r="H46" i="1"/>
  <c r="H47" i="1"/>
  <c r="H50" i="1"/>
  <c r="H51" i="1"/>
  <c r="H54" i="1"/>
  <c r="H55" i="1"/>
  <c r="H58" i="1"/>
  <c r="H59" i="1"/>
  <c r="H62" i="1"/>
  <c r="H63" i="1"/>
  <c r="H66" i="1"/>
  <c r="H67" i="1"/>
  <c r="H70" i="1"/>
  <c r="H71" i="1"/>
  <c r="H74" i="1"/>
  <c r="H75" i="1"/>
  <c r="H78" i="1"/>
  <c r="H79" i="1"/>
  <c r="H82" i="1"/>
  <c r="H83" i="1"/>
  <c r="H86" i="1"/>
  <c r="H87" i="1"/>
  <c r="H90" i="1"/>
  <c r="H91" i="1"/>
  <c r="H94" i="1"/>
  <c r="H95" i="1"/>
  <c r="H98" i="1"/>
  <c r="H99" i="1"/>
  <c r="H102" i="1"/>
  <c r="H103" i="1"/>
  <c r="H106" i="1"/>
  <c r="H107" i="1"/>
  <c r="H110" i="1"/>
  <c r="H111" i="1"/>
  <c r="H114" i="1"/>
  <c r="H115" i="1"/>
  <c r="H118" i="1"/>
  <c r="H119" i="1"/>
  <c r="H122" i="1"/>
  <c r="H123" i="1"/>
  <c r="H126" i="1"/>
  <c r="H127" i="1"/>
  <c r="H130" i="1"/>
  <c r="H131" i="1"/>
  <c r="H134" i="1"/>
  <c r="H135" i="1"/>
  <c r="H138" i="1"/>
  <c r="H139" i="1"/>
  <c r="H142" i="1"/>
  <c r="H143" i="1"/>
  <c r="H146" i="1"/>
  <c r="H147" i="1"/>
  <c r="H150" i="1"/>
  <c r="H151" i="1"/>
  <c r="H154" i="1"/>
  <c r="H155" i="1"/>
  <c r="H158" i="1"/>
  <c r="H159" i="1"/>
  <c r="H162" i="1"/>
  <c r="H163" i="1"/>
  <c r="H166" i="1"/>
  <c r="H167" i="1"/>
  <c r="H170" i="1"/>
  <c r="H171" i="1"/>
  <c r="H174" i="1"/>
  <c r="H175" i="1"/>
  <c r="H178" i="1"/>
  <c r="H179" i="1"/>
  <c r="H182" i="1"/>
  <c r="H2" i="1"/>
  <c r="H31" i="6"/>
  <c r="J31" i="6" s="1"/>
  <c r="H30" i="6"/>
  <c r="J30" i="6" s="1"/>
  <c r="H29" i="6"/>
  <c r="J29" i="6" s="1"/>
  <c r="H28" i="6"/>
  <c r="H27" i="6"/>
  <c r="J27" i="6" s="1"/>
  <c r="H26" i="6"/>
  <c r="J26" i="6" s="1"/>
  <c r="H25" i="6"/>
  <c r="J25" i="6" s="1"/>
  <c r="H24" i="6"/>
  <c r="H23" i="6"/>
  <c r="J23" i="6" s="1"/>
  <c r="H22" i="6"/>
  <c r="J22" i="6" s="1"/>
  <c r="H3" i="6"/>
  <c r="H4" i="6"/>
  <c r="H5" i="6"/>
  <c r="J5" i="6" s="1"/>
  <c r="H6" i="6"/>
  <c r="J6" i="6" s="1"/>
  <c r="H7" i="6"/>
  <c r="H8" i="6"/>
  <c r="H9" i="6"/>
  <c r="J9" i="6" s="1"/>
  <c r="H10" i="6"/>
  <c r="J10" i="6" s="1"/>
  <c r="H11" i="6"/>
  <c r="H12" i="6"/>
  <c r="H13" i="6"/>
  <c r="J13" i="6" s="1"/>
  <c r="H14" i="6"/>
  <c r="J14" i="6" s="1"/>
  <c r="H15" i="6"/>
  <c r="H16" i="6"/>
  <c r="H17" i="6"/>
  <c r="J17" i="6" s="1"/>
  <c r="H18" i="6"/>
  <c r="J18" i="6" s="1"/>
  <c r="H19" i="6"/>
  <c r="H20" i="6"/>
  <c r="H21" i="6"/>
  <c r="J21" i="6" s="1"/>
  <c r="H2" i="6"/>
  <c r="J2" i="6" s="1"/>
  <c r="F3" i="5"/>
  <c r="H3" i="5" s="1"/>
  <c r="F4" i="5"/>
  <c r="F5" i="5"/>
  <c r="H5" i="5" s="1"/>
  <c r="F6" i="5"/>
  <c r="H6" i="5" s="1"/>
  <c r="F7" i="5"/>
  <c r="H7" i="5" s="1"/>
  <c r="F8" i="5"/>
  <c r="G8" i="5" s="1"/>
  <c r="F9" i="5"/>
  <c r="G9" i="5" s="1"/>
  <c r="F10" i="5"/>
  <c r="H10" i="5" s="1"/>
  <c r="F11" i="5"/>
  <c r="H11" i="5" s="1"/>
  <c r="F12" i="5"/>
  <c r="F13" i="5"/>
  <c r="G13" i="5" s="1"/>
  <c r="F14" i="5"/>
  <c r="H14" i="5" s="1"/>
  <c r="F15" i="5"/>
  <c r="H15" i="5" s="1"/>
  <c r="F16" i="5"/>
  <c r="G16" i="5" s="1"/>
  <c r="F17" i="5"/>
  <c r="H17" i="5" s="1"/>
  <c r="F18" i="5"/>
  <c r="H18" i="5" s="1"/>
  <c r="F19" i="5"/>
  <c r="H19" i="5" s="1"/>
  <c r="F20" i="5"/>
  <c r="G20" i="5" s="1"/>
  <c r="F21" i="5"/>
  <c r="H21" i="5" s="1"/>
  <c r="F22" i="5"/>
  <c r="H22" i="5" s="1"/>
  <c r="F23" i="5"/>
  <c r="H23" i="5" s="1"/>
  <c r="F24" i="5"/>
  <c r="H24" i="5" s="1"/>
  <c r="F25" i="5"/>
  <c r="F26" i="5"/>
  <c r="H26" i="5" s="1"/>
  <c r="F27" i="5"/>
  <c r="H27" i="5" s="1"/>
  <c r="F28" i="5"/>
  <c r="H28" i="5" s="1"/>
  <c r="F29" i="5"/>
  <c r="H29" i="5" s="1"/>
  <c r="F30" i="5"/>
  <c r="H30" i="5" s="1"/>
  <c r="F31" i="5"/>
  <c r="H31" i="5" s="1"/>
  <c r="F32" i="5"/>
  <c r="G32" i="5" s="1"/>
  <c r="F33" i="5"/>
  <c r="H33" i="5" s="1"/>
  <c r="F34" i="5"/>
  <c r="H34" i="5" s="1"/>
  <c r="F35" i="5"/>
  <c r="H35" i="5" s="1"/>
  <c r="F36" i="5"/>
  <c r="G36" i="5" s="1"/>
  <c r="F37" i="5"/>
  <c r="F38" i="5"/>
  <c r="H38" i="5" s="1"/>
  <c r="F39" i="5"/>
  <c r="H39" i="5" s="1"/>
  <c r="F40" i="5"/>
  <c r="G40" i="5" s="1"/>
  <c r="F41" i="5"/>
  <c r="G41" i="5" s="1"/>
  <c r="F42" i="5"/>
  <c r="H42" i="5" s="1"/>
  <c r="F43" i="5"/>
  <c r="H43" i="5" s="1"/>
  <c r="F44" i="5"/>
  <c r="G44" i="5" s="1"/>
  <c r="F45" i="5"/>
  <c r="H45" i="5" s="1"/>
  <c r="F46" i="5"/>
  <c r="H46" i="5" s="1"/>
  <c r="F47" i="5"/>
  <c r="H47" i="5" s="1"/>
  <c r="F48" i="5"/>
  <c r="H48" i="5" s="1"/>
  <c r="F49" i="5"/>
  <c r="H49" i="5" s="1"/>
  <c r="F50" i="5"/>
  <c r="H50" i="5" s="1"/>
  <c r="F51" i="5"/>
  <c r="H51" i="5" s="1"/>
  <c r="F52" i="5"/>
  <c r="F53" i="5"/>
  <c r="F54" i="5"/>
  <c r="H54" i="5" s="1"/>
  <c r="F55" i="5"/>
  <c r="H55" i="5" s="1"/>
  <c r="F56" i="5"/>
  <c r="F57" i="5"/>
  <c r="F58" i="5"/>
  <c r="H58" i="5" s="1"/>
  <c r="F59" i="5"/>
  <c r="H59" i="5" s="1"/>
  <c r="F60" i="5"/>
  <c r="F61" i="5"/>
  <c r="F62" i="5"/>
  <c r="H62" i="5" s="1"/>
  <c r="F63" i="5"/>
  <c r="H63" i="5" s="1"/>
  <c r="F64" i="5"/>
  <c r="G64" i="5" s="1"/>
  <c r="F65" i="5"/>
  <c r="H65" i="5" s="1"/>
  <c r="F66" i="5"/>
  <c r="H66" i="5" s="1"/>
  <c r="F67" i="5"/>
  <c r="H67" i="5" s="1"/>
  <c r="F68" i="5"/>
  <c r="H68" i="5" s="1"/>
  <c r="F69" i="5"/>
  <c r="H69" i="5" s="1"/>
  <c r="F70" i="5"/>
  <c r="H70" i="5" s="1"/>
  <c r="F71" i="5"/>
  <c r="H71" i="5" s="1"/>
  <c r="F72" i="5"/>
  <c r="F73" i="5"/>
  <c r="F74" i="5"/>
  <c r="H74" i="5" s="1"/>
  <c r="F75" i="5"/>
  <c r="H75" i="5" s="1"/>
  <c r="F76" i="5"/>
  <c r="F77" i="5"/>
  <c r="F78" i="5"/>
  <c r="H78" i="5" s="1"/>
  <c r="F79" i="5"/>
  <c r="H79" i="5" s="1"/>
  <c r="F80" i="5"/>
  <c r="F81" i="5"/>
  <c r="F82" i="5"/>
  <c r="H82" i="5" s="1"/>
  <c r="F83" i="5"/>
  <c r="H83" i="5" s="1"/>
  <c r="F84" i="5"/>
  <c r="F85" i="5"/>
  <c r="F86" i="5"/>
  <c r="H86" i="5" s="1"/>
  <c r="F87" i="5"/>
  <c r="H87" i="5" s="1"/>
  <c r="F88" i="5"/>
  <c r="F89" i="5"/>
  <c r="F90" i="5"/>
  <c r="H90" i="5" s="1"/>
  <c r="F91" i="5"/>
  <c r="H91" i="5" s="1"/>
  <c r="F92" i="5"/>
  <c r="F93" i="5"/>
  <c r="F94" i="5"/>
  <c r="H94" i="5" s="1"/>
  <c r="F95" i="5"/>
  <c r="H95" i="5" s="1"/>
  <c r="F96" i="5"/>
  <c r="F97" i="5"/>
  <c r="F98" i="5"/>
  <c r="H98" i="5" s="1"/>
  <c r="F99" i="5"/>
  <c r="H99" i="5" s="1"/>
  <c r="F100" i="5"/>
  <c r="F101" i="5"/>
  <c r="F102" i="5"/>
  <c r="H102" i="5" s="1"/>
  <c r="F103" i="5"/>
  <c r="H103" i="5" s="1"/>
  <c r="F104" i="5"/>
  <c r="F105" i="5"/>
  <c r="F106" i="5"/>
  <c r="H106" i="5" s="1"/>
  <c r="F107" i="5"/>
  <c r="H107" i="5" s="1"/>
  <c r="F108" i="5"/>
  <c r="F109" i="5"/>
  <c r="F110" i="5"/>
  <c r="H110" i="5" s="1"/>
  <c r="F111" i="5"/>
  <c r="H111" i="5" s="1"/>
  <c r="F112" i="5"/>
  <c r="F113" i="5"/>
  <c r="F114" i="5"/>
  <c r="H114" i="5" s="1"/>
  <c r="F115" i="5"/>
  <c r="H115" i="5" s="1"/>
  <c r="F116" i="5"/>
  <c r="F117" i="5"/>
  <c r="F118" i="5"/>
  <c r="H118" i="5" s="1"/>
  <c r="F119" i="5"/>
  <c r="H119" i="5" s="1"/>
  <c r="F120" i="5"/>
  <c r="F121" i="5"/>
  <c r="F122" i="5"/>
  <c r="H122" i="5" s="1"/>
  <c r="F123" i="5"/>
  <c r="H123" i="5" s="1"/>
  <c r="F124" i="5"/>
  <c r="F125" i="5"/>
  <c r="F126" i="5"/>
  <c r="H126" i="5" s="1"/>
  <c r="F127" i="5"/>
  <c r="H127" i="5" s="1"/>
  <c r="F128" i="5"/>
  <c r="F129" i="5"/>
  <c r="F130" i="5"/>
  <c r="H130" i="5" s="1"/>
  <c r="F131" i="5"/>
  <c r="H131" i="5" s="1"/>
  <c r="F132" i="5"/>
  <c r="F133" i="5"/>
  <c r="F134" i="5"/>
  <c r="H134" i="5" s="1"/>
  <c r="F135" i="5"/>
  <c r="H135" i="5" s="1"/>
  <c r="F136" i="5"/>
  <c r="F137" i="5"/>
  <c r="F138" i="5"/>
  <c r="H138" i="5" s="1"/>
  <c r="F139" i="5"/>
  <c r="H139" i="5" s="1"/>
  <c r="F140" i="5"/>
  <c r="F141" i="5"/>
  <c r="F142" i="5"/>
  <c r="H142" i="5" s="1"/>
  <c r="F143" i="5"/>
  <c r="H143" i="5" s="1"/>
  <c r="F144" i="5"/>
  <c r="F145" i="5"/>
  <c r="F146" i="5"/>
  <c r="H146" i="5" s="1"/>
  <c r="F147" i="5"/>
  <c r="H147" i="5" s="1"/>
  <c r="F148" i="5"/>
  <c r="F149" i="5"/>
  <c r="F150" i="5"/>
  <c r="H150" i="5" s="1"/>
  <c r="F151" i="5"/>
  <c r="H151" i="5" s="1"/>
  <c r="F152" i="5"/>
  <c r="F153" i="5"/>
  <c r="F154" i="5"/>
  <c r="H154" i="5" s="1"/>
  <c r="F155" i="5"/>
  <c r="H155" i="5" s="1"/>
  <c r="F156" i="5"/>
  <c r="F157" i="5"/>
  <c r="F158" i="5"/>
  <c r="H158" i="5" s="1"/>
  <c r="F159" i="5"/>
  <c r="H159" i="5" s="1"/>
  <c r="F160" i="5"/>
  <c r="F161" i="5"/>
  <c r="F162" i="5"/>
  <c r="H162" i="5" s="1"/>
  <c r="F163" i="5"/>
  <c r="H163" i="5" s="1"/>
  <c r="F164" i="5"/>
  <c r="F165" i="5"/>
  <c r="F166" i="5"/>
  <c r="H166" i="5" s="1"/>
  <c r="F167" i="5"/>
  <c r="H167" i="5" s="1"/>
  <c r="F168" i="5"/>
  <c r="F169" i="5"/>
  <c r="F170" i="5"/>
  <c r="H170" i="5" s="1"/>
  <c r="F171" i="5"/>
  <c r="H171" i="5" s="1"/>
  <c r="F172" i="5"/>
  <c r="F173" i="5"/>
  <c r="F174" i="5"/>
  <c r="H174" i="5" s="1"/>
  <c r="F175" i="5"/>
  <c r="H175" i="5" s="1"/>
  <c r="F176" i="5"/>
  <c r="F177" i="5"/>
  <c r="F178" i="5"/>
  <c r="H178" i="5" s="1"/>
  <c r="F179" i="5"/>
  <c r="H179" i="5" s="1"/>
  <c r="F180" i="5"/>
  <c r="F181" i="5"/>
  <c r="F182" i="5"/>
  <c r="H182" i="5" s="1"/>
  <c r="F183" i="5"/>
  <c r="H183" i="5" s="1"/>
  <c r="F184" i="5"/>
  <c r="F185" i="5"/>
  <c r="F186" i="5"/>
  <c r="H186" i="5" s="1"/>
  <c r="F187" i="5"/>
  <c r="H187" i="5" s="1"/>
  <c r="F188" i="5"/>
  <c r="F189" i="5"/>
  <c r="F190" i="5"/>
  <c r="H190" i="5" s="1"/>
  <c r="F191" i="5"/>
  <c r="H191" i="5" s="1"/>
  <c r="F192" i="5"/>
  <c r="F193" i="5"/>
  <c r="F194" i="5"/>
  <c r="H194" i="5" s="1"/>
  <c r="F195" i="5"/>
  <c r="H195" i="5" s="1"/>
  <c r="F196" i="5"/>
  <c r="F197" i="5"/>
  <c r="F198" i="5"/>
  <c r="H198" i="5" s="1"/>
  <c r="F199" i="5"/>
  <c r="H199" i="5" s="1"/>
  <c r="F200" i="5"/>
  <c r="F201" i="5"/>
  <c r="F202" i="5"/>
  <c r="H202" i="5" s="1"/>
  <c r="F203" i="5"/>
  <c r="H203" i="5" s="1"/>
  <c r="F204" i="5"/>
  <c r="F205" i="5"/>
  <c r="F206" i="5"/>
  <c r="H206" i="5" s="1"/>
  <c r="F207" i="5"/>
  <c r="H207" i="5" s="1"/>
  <c r="F208" i="5"/>
  <c r="F209" i="5"/>
  <c r="F210" i="5"/>
  <c r="H210" i="5" s="1"/>
  <c r="F211" i="5"/>
  <c r="H211" i="5" s="1"/>
  <c r="F2" i="5"/>
  <c r="F3" i="4"/>
  <c r="H3" i="4" s="1"/>
  <c r="F4" i="4"/>
  <c r="H4" i="4" s="1"/>
  <c r="F5" i="4"/>
  <c r="H5" i="4" s="1"/>
  <c r="F6" i="4"/>
  <c r="H6" i="4" s="1"/>
  <c r="F7" i="4"/>
  <c r="H7" i="4" s="1"/>
  <c r="F8" i="4"/>
  <c r="H8" i="4" s="1"/>
  <c r="F9" i="4"/>
  <c r="H9" i="4" s="1"/>
  <c r="F10" i="4"/>
  <c r="H10" i="4" s="1"/>
  <c r="F11" i="4"/>
  <c r="H11" i="4" s="1"/>
  <c r="F12" i="4"/>
  <c r="H12" i="4" s="1"/>
  <c r="F13" i="4"/>
  <c r="H13" i="4" s="1"/>
  <c r="F14" i="4"/>
  <c r="H14" i="4" s="1"/>
  <c r="F15" i="4"/>
  <c r="H15" i="4" s="1"/>
  <c r="F16" i="4"/>
  <c r="H16" i="4" s="1"/>
  <c r="F17" i="4"/>
  <c r="H17" i="4" s="1"/>
  <c r="F18" i="4"/>
  <c r="H18" i="4" s="1"/>
  <c r="F19" i="4"/>
  <c r="H19" i="4" s="1"/>
  <c r="F20" i="4"/>
  <c r="H20" i="4" s="1"/>
  <c r="F21" i="4"/>
  <c r="H21" i="4" s="1"/>
  <c r="F22" i="4"/>
  <c r="H22" i="4" s="1"/>
  <c r="F23" i="4"/>
  <c r="H23" i="4" s="1"/>
  <c r="F24" i="4"/>
  <c r="H24" i="4" s="1"/>
  <c r="F25" i="4"/>
  <c r="H25" i="4" s="1"/>
  <c r="F26" i="4"/>
  <c r="H26" i="4" s="1"/>
  <c r="F27" i="4"/>
  <c r="H27" i="4" s="1"/>
  <c r="F28" i="4"/>
  <c r="H28" i="4" s="1"/>
  <c r="F29" i="4"/>
  <c r="H29" i="4" s="1"/>
  <c r="F30" i="4"/>
  <c r="H30" i="4" s="1"/>
  <c r="F31" i="4"/>
  <c r="H31" i="4" s="1"/>
  <c r="F32" i="4"/>
  <c r="H32" i="4" s="1"/>
  <c r="F33" i="4"/>
  <c r="H33" i="4" s="1"/>
  <c r="F34" i="4"/>
  <c r="H34" i="4" s="1"/>
  <c r="F35" i="4"/>
  <c r="H35" i="4" s="1"/>
  <c r="F36" i="4"/>
  <c r="H36" i="4" s="1"/>
  <c r="F37" i="4"/>
  <c r="H37" i="4" s="1"/>
  <c r="F38" i="4"/>
  <c r="H38" i="4" s="1"/>
  <c r="F39" i="4"/>
  <c r="H39" i="4" s="1"/>
  <c r="F40" i="4"/>
  <c r="H40" i="4" s="1"/>
  <c r="F41" i="4"/>
  <c r="H41" i="4" s="1"/>
  <c r="F42" i="4"/>
  <c r="H42" i="4" s="1"/>
  <c r="F43" i="4"/>
  <c r="H43" i="4" s="1"/>
  <c r="F44" i="4"/>
  <c r="H44" i="4" s="1"/>
  <c r="F45" i="4"/>
  <c r="H45" i="4" s="1"/>
  <c r="F46" i="4"/>
  <c r="H46" i="4" s="1"/>
  <c r="F47" i="4"/>
  <c r="H47" i="4" s="1"/>
  <c r="F48" i="4"/>
  <c r="H48" i="4" s="1"/>
  <c r="F49" i="4"/>
  <c r="H49" i="4" s="1"/>
  <c r="F50" i="4"/>
  <c r="H50" i="4" s="1"/>
  <c r="F51" i="4"/>
  <c r="H51" i="4" s="1"/>
  <c r="F52" i="4"/>
  <c r="H52" i="4" s="1"/>
  <c r="F53" i="4"/>
  <c r="H53" i="4" s="1"/>
  <c r="F54" i="4"/>
  <c r="H54" i="4" s="1"/>
  <c r="F55" i="4"/>
  <c r="H55" i="4" s="1"/>
  <c r="F56" i="4"/>
  <c r="H56" i="4" s="1"/>
  <c r="F57" i="4"/>
  <c r="H57" i="4" s="1"/>
  <c r="F58" i="4"/>
  <c r="H58" i="4" s="1"/>
  <c r="F59" i="4"/>
  <c r="H59" i="4" s="1"/>
  <c r="F60" i="4"/>
  <c r="H60" i="4" s="1"/>
  <c r="F61" i="4"/>
  <c r="H61" i="4" s="1"/>
  <c r="F62" i="4"/>
  <c r="H62" i="4" s="1"/>
  <c r="F63" i="4"/>
  <c r="H63" i="4" s="1"/>
  <c r="F64" i="4"/>
  <c r="H64" i="4" s="1"/>
  <c r="F65" i="4"/>
  <c r="H65" i="4" s="1"/>
  <c r="F66" i="4"/>
  <c r="H66" i="4" s="1"/>
  <c r="F67" i="4"/>
  <c r="H67" i="4" s="1"/>
  <c r="F68" i="4"/>
  <c r="H68" i="4" s="1"/>
  <c r="F69" i="4"/>
  <c r="H69" i="4" s="1"/>
  <c r="F70" i="4"/>
  <c r="H70" i="4" s="1"/>
  <c r="F71" i="4"/>
  <c r="H71" i="4" s="1"/>
  <c r="F72" i="4"/>
  <c r="H72" i="4" s="1"/>
  <c r="F73" i="4"/>
  <c r="H73" i="4" s="1"/>
  <c r="F74" i="4"/>
  <c r="H74" i="4" s="1"/>
  <c r="F75" i="4"/>
  <c r="H75" i="4" s="1"/>
  <c r="F76" i="4"/>
  <c r="H76" i="4" s="1"/>
  <c r="F77" i="4"/>
  <c r="H77" i="4" s="1"/>
  <c r="F78" i="4"/>
  <c r="H78" i="4" s="1"/>
  <c r="F79" i="4"/>
  <c r="H79" i="4" s="1"/>
  <c r="F80" i="4"/>
  <c r="H80" i="4" s="1"/>
  <c r="F81" i="4"/>
  <c r="H81" i="4" s="1"/>
  <c r="F82" i="4"/>
  <c r="H82" i="4" s="1"/>
  <c r="F83" i="4"/>
  <c r="H83" i="4" s="1"/>
  <c r="F84" i="4"/>
  <c r="H84" i="4" s="1"/>
  <c r="F85" i="4"/>
  <c r="H85" i="4" s="1"/>
  <c r="F86" i="4"/>
  <c r="H86" i="4" s="1"/>
  <c r="F87" i="4"/>
  <c r="H87" i="4" s="1"/>
  <c r="F88" i="4"/>
  <c r="H88" i="4" s="1"/>
  <c r="F89" i="4"/>
  <c r="H89" i="4" s="1"/>
  <c r="F90" i="4"/>
  <c r="H90" i="4" s="1"/>
  <c r="F91" i="4"/>
  <c r="H91" i="4" s="1"/>
  <c r="F92" i="4"/>
  <c r="H92" i="4" s="1"/>
  <c r="F93" i="4"/>
  <c r="H93" i="4" s="1"/>
  <c r="F94" i="4"/>
  <c r="H94" i="4" s="1"/>
  <c r="F95" i="4"/>
  <c r="H95" i="4" s="1"/>
  <c r="F96" i="4"/>
  <c r="H96" i="4" s="1"/>
  <c r="F97" i="4"/>
  <c r="H97" i="4" s="1"/>
  <c r="F98" i="4"/>
  <c r="H98" i="4" s="1"/>
  <c r="F99" i="4"/>
  <c r="H99" i="4" s="1"/>
  <c r="F100" i="4"/>
  <c r="H100" i="4" s="1"/>
  <c r="F101" i="4"/>
  <c r="H101" i="4" s="1"/>
  <c r="F102" i="4"/>
  <c r="H102" i="4" s="1"/>
  <c r="F103" i="4"/>
  <c r="H103" i="4" s="1"/>
  <c r="F104" i="4"/>
  <c r="H104" i="4" s="1"/>
  <c r="F105" i="4"/>
  <c r="H105" i="4" s="1"/>
  <c r="F106" i="4"/>
  <c r="H106" i="4" s="1"/>
  <c r="F107" i="4"/>
  <c r="H107" i="4" s="1"/>
  <c r="F108" i="4"/>
  <c r="H108" i="4" s="1"/>
  <c r="F109" i="4"/>
  <c r="H109" i="4" s="1"/>
  <c r="F110" i="4"/>
  <c r="H110" i="4" s="1"/>
  <c r="F111" i="4"/>
  <c r="H111" i="4" s="1"/>
  <c r="F112" i="4"/>
  <c r="H112" i="4" s="1"/>
  <c r="F113" i="4"/>
  <c r="H113" i="4" s="1"/>
  <c r="F114" i="4"/>
  <c r="H114" i="4" s="1"/>
  <c r="F115" i="4"/>
  <c r="H115" i="4" s="1"/>
  <c r="F116" i="4"/>
  <c r="H116" i="4" s="1"/>
  <c r="F117" i="4"/>
  <c r="H117" i="4" s="1"/>
  <c r="F118" i="4"/>
  <c r="H118" i="4" s="1"/>
  <c r="F119" i="4"/>
  <c r="H119" i="4" s="1"/>
  <c r="F120" i="4"/>
  <c r="H120" i="4" s="1"/>
  <c r="F121" i="4"/>
  <c r="F122" i="4"/>
  <c r="H122" i="4" s="1"/>
  <c r="F123" i="4"/>
  <c r="H123" i="4" s="1"/>
  <c r="F124" i="4"/>
  <c r="H124" i="4" s="1"/>
  <c r="F125" i="4"/>
  <c r="H125" i="4" s="1"/>
  <c r="F126" i="4"/>
  <c r="H126" i="4" s="1"/>
  <c r="F127" i="4"/>
  <c r="H127" i="4" s="1"/>
  <c r="F128" i="4"/>
  <c r="H128" i="4" s="1"/>
  <c r="F129" i="4"/>
  <c r="H129" i="4" s="1"/>
  <c r="F130" i="4"/>
  <c r="H130" i="4" s="1"/>
  <c r="F131" i="4"/>
  <c r="H131" i="4" s="1"/>
  <c r="F132" i="4"/>
  <c r="H132" i="4" s="1"/>
  <c r="F133" i="4"/>
  <c r="H133" i="4" s="1"/>
  <c r="F134" i="4"/>
  <c r="H134" i="4" s="1"/>
  <c r="F135" i="4"/>
  <c r="H135" i="4" s="1"/>
  <c r="F136" i="4"/>
  <c r="H136" i="4" s="1"/>
  <c r="F137" i="4"/>
  <c r="H137" i="4" s="1"/>
  <c r="F138" i="4"/>
  <c r="H138" i="4" s="1"/>
  <c r="F139" i="4"/>
  <c r="H139" i="4" s="1"/>
  <c r="F140" i="4"/>
  <c r="H140" i="4" s="1"/>
  <c r="F141" i="4"/>
  <c r="H141" i="4" s="1"/>
  <c r="F142" i="4"/>
  <c r="H142" i="4" s="1"/>
  <c r="F143" i="4"/>
  <c r="H143" i="4" s="1"/>
  <c r="F144" i="4"/>
  <c r="H144" i="4" s="1"/>
  <c r="F145" i="4"/>
  <c r="H145" i="4" s="1"/>
  <c r="F146" i="4"/>
  <c r="H146" i="4" s="1"/>
  <c r="F147" i="4"/>
  <c r="H147" i="4" s="1"/>
  <c r="F148" i="4"/>
  <c r="H148" i="4" s="1"/>
  <c r="F149" i="4"/>
  <c r="H149" i="4" s="1"/>
  <c r="F150" i="4"/>
  <c r="H150" i="4" s="1"/>
  <c r="F151" i="4"/>
  <c r="H151" i="4" s="1"/>
  <c r="F152" i="4"/>
  <c r="H152" i="4" s="1"/>
  <c r="F153" i="4"/>
  <c r="H153" i="4" s="1"/>
  <c r="F154" i="4"/>
  <c r="H154" i="4" s="1"/>
  <c r="F155" i="4"/>
  <c r="H155" i="4" s="1"/>
  <c r="F156" i="4"/>
  <c r="H156" i="4" s="1"/>
  <c r="F157" i="4"/>
  <c r="H157" i="4" s="1"/>
  <c r="F158" i="4"/>
  <c r="H158" i="4" s="1"/>
  <c r="F159" i="4"/>
  <c r="H159" i="4" s="1"/>
  <c r="F160" i="4"/>
  <c r="H160" i="4" s="1"/>
  <c r="F161" i="4"/>
  <c r="H161" i="4" s="1"/>
  <c r="F162" i="4"/>
  <c r="H162" i="4" s="1"/>
  <c r="F163" i="4"/>
  <c r="H163" i="4" s="1"/>
  <c r="F164" i="4"/>
  <c r="H164" i="4" s="1"/>
  <c r="F165" i="4"/>
  <c r="H165" i="4" s="1"/>
  <c r="F166" i="4"/>
  <c r="H166" i="4" s="1"/>
  <c r="F167" i="4"/>
  <c r="H167" i="4" s="1"/>
  <c r="F168" i="4"/>
  <c r="H168" i="4" s="1"/>
  <c r="F169" i="4"/>
  <c r="H169" i="4" s="1"/>
  <c r="F170" i="4"/>
  <c r="H170" i="4" s="1"/>
  <c r="F171" i="4"/>
  <c r="H171" i="4" s="1"/>
  <c r="F172" i="4"/>
  <c r="H172" i="4" s="1"/>
  <c r="F173" i="4"/>
  <c r="H173" i="4" s="1"/>
  <c r="F174" i="4"/>
  <c r="H174" i="4" s="1"/>
  <c r="F175" i="4"/>
  <c r="H175" i="4" s="1"/>
  <c r="F176" i="4"/>
  <c r="H176" i="4" s="1"/>
  <c r="F177" i="4"/>
  <c r="F178" i="4"/>
  <c r="H178" i="4" s="1"/>
  <c r="F179" i="4"/>
  <c r="H179" i="4" s="1"/>
  <c r="F180" i="4"/>
  <c r="H180" i="4" s="1"/>
  <c r="F181" i="4"/>
  <c r="H181" i="4" s="1"/>
  <c r="F182" i="4"/>
  <c r="H182" i="4" s="1"/>
  <c r="F183" i="4"/>
  <c r="H183" i="4" s="1"/>
  <c r="F184" i="4"/>
  <c r="H184" i="4" s="1"/>
  <c r="F185" i="4"/>
  <c r="H185" i="4" s="1"/>
  <c r="F186" i="4"/>
  <c r="H186" i="4" s="1"/>
  <c r="F187" i="4"/>
  <c r="H187" i="4" s="1"/>
  <c r="F188" i="4"/>
  <c r="H188" i="4" s="1"/>
  <c r="F189" i="4"/>
  <c r="F190" i="4"/>
  <c r="H190" i="4" s="1"/>
  <c r="F191" i="4"/>
  <c r="H191" i="4" s="1"/>
  <c r="F192" i="4"/>
  <c r="H192" i="4" s="1"/>
  <c r="F193" i="4"/>
  <c r="F194" i="4"/>
  <c r="H194" i="4" s="1"/>
  <c r="F195" i="4"/>
  <c r="H195" i="4" s="1"/>
  <c r="F196" i="4"/>
  <c r="H196" i="4" s="1"/>
  <c r="F197" i="4"/>
  <c r="H197" i="4" s="1"/>
  <c r="F198" i="4"/>
  <c r="H198" i="4" s="1"/>
  <c r="F199" i="4"/>
  <c r="H199" i="4" s="1"/>
  <c r="F200" i="4"/>
  <c r="H200" i="4" s="1"/>
  <c r="F2" i="4"/>
  <c r="H2" i="4" s="1"/>
  <c r="F3" i="3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H24" i="3" s="1"/>
  <c r="F25" i="3"/>
  <c r="H25" i="3" s="1"/>
  <c r="F26" i="3"/>
  <c r="H26" i="3" s="1"/>
  <c r="F27" i="3"/>
  <c r="H27" i="3" s="1"/>
  <c r="F28" i="3"/>
  <c r="H28" i="3" s="1"/>
  <c r="F29" i="3"/>
  <c r="H29" i="3" s="1"/>
  <c r="F30" i="3"/>
  <c r="H30" i="3" s="1"/>
  <c r="F31" i="3"/>
  <c r="H31" i="3" s="1"/>
  <c r="F32" i="3"/>
  <c r="H32" i="3" s="1"/>
  <c r="F33" i="3"/>
  <c r="H33" i="3" s="1"/>
  <c r="F34" i="3"/>
  <c r="H34" i="3" s="1"/>
  <c r="F35" i="3"/>
  <c r="H35" i="3" s="1"/>
  <c r="F36" i="3"/>
  <c r="H36" i="3" s="1"/>
  <c r="F37" i="3"/>
  <c r="H37" i="3" s="1"/>
  <c r="F38" i="3"/>
  <c r="H38" i="3" s="1"/>
  <c r="F39" i="3"/>
  <c r="H39" i="3" s="1"/>
  <c r="F40" i="3"/>
  <c r="H40" i="3" s="1"/>
  <c r="F41" i="3"/>
  <c r="H41" i="3" s="1"/>
  <c r="F42" i="3"/>
  <c r="H42" i="3" s="1"/>
  <c r="F43" i="3"/>
  <c r="H43" i="3" s="1"/>
  <c r="F44" i="3"/>
  <c r="H44" i="3" s="1"/>
  <c r="F45" i="3"/>
  <c r="H45" i="3" s="1"/>
  <c r="F46" i="3"/>
  <c r="H46" i="3" s="1"/>
  <c r="F47" i="3"/>
  <c r="H47" i="3" s="1"/>
  <c r="F48" i="3"/>
  <c r="H48" i="3" s="1"/>
  <c r="F49" i="3"/>
  <c r="H49" i="3" s="1"/>
  <c r="F50" i="3"/>
  <c r="H50" i="3" s="1"/>
  <c r="F51" i="3"/>
  <c r="H51" i="3" s="1"/>
  <c r="F52" i="3"/>
  <c r="H52" i="3" s="1"/>
  <c r="F53" i="3"/>
  <c r="H53" i="3" s="1"/>
  <c r="F54" i="3"/>
  <c r="H54" i="3" s="1"/>
  <c r="F55" i="3"/>
  <c r="H55" i="3" s="1"/>
  <c r="F56" i="3"/>
  <c r="H56" i="3" s="1"/>
  <c r="F57" i="3"/>
  <c r="H57" i="3" s="1"/>
  <c r="F58" i="3"/>
  <c r="H58" i="3" s="1"/>
  <c r="F59" i="3"/>
  <c r="H59" i="3" s="1"/>
  <c r="F60" i="3"/>
  <c r="H60" i="3" s="1"/>
  <c r="F61" i="3"/>
  <c r="H61" i="3" s="1"/>
  <c r="F62" i="3"/>
  <c r="H62" i="3" s="1"/>
  <c r="F63" i="3"/>
  <c r="H63" i="3" s="1"/>
  <c r="F64" i="3"/>
  <c r="H64" i="3" s="1"/>
  <c r="F65" i="3"/>
  <c r="H65" i="3" s="1"/>
  <c r="F66" i="3"/>
  <c r="H66" i="3" s="1"/>
  <c r="F67" i="3"/>
  <c r="H67" i="3" s="1"/>
  <c r="F68" i="3"/>
  <c r="H68" i="3" s="1"/>
  <c r="F69" i="3"/>
  <c r="H69" i="3" s="1"/>
  <c r="F70" i="3"/>
  <c r="H70" i="3" s="1"/>
  <c r="F71" i="3"/>
  <c r="H71" i="3" s="1"/>
  <c r="F72" i="3"/>
  <c r="H72" i="3" s="1"/>
  <c r="F73" i="3"/>
  <c r="H73" i="3" s="1"/>
  <c r="F74" i="3"/>
  <c r="H74" i="3" s="1"/>
  <c r="F75" i="3"/>
  <c r="H75" i="3" s="1"/>
  <c r="F76" i="3"/>
  <c r="H76" i="3" s="1"/>
  <c r="F77" i="3"/>
  <c r="H77" i="3" s="1"/>
  <c r="F78" i="3"/>
  <c r="H78" i="3" s="1"/>
  <c r="F79" i="3"/>
  <c r="H79" i="3" s="1"/>
  <c r="F80" i="3"/>
  <c r="H80" i="3" s="1"/>
  <c r="F81" i="3"/>
  <c r="H81" i="3" s="1"/>
  <c r="F82" i="3"/>
  <c r="H82" i="3" s="1"/>
  <c r="F83" i="3"/>
  <c r="H83" i="3" s="1"/>
  <c r="F84" i="3"/>
  <c r="H84" i="3" s="1"/>
  <c r="F85" i="3"/>
  <c r="H85" i="3" s="1"/>
  <c r="F86" i="3"/>
  <c r="H86" i="3" s="1"/>
  <c r="F87" i="3"/>
  <c r="H87" i="3" s="1"/>
  <c r="F88" i="3"/>
  <c r="H88" i="3" s="1"/>
  <c r="F89" i="3"/>
  <c r="H89" i="3" s="1"/>
  <c r="F90" i="3"/>
  <c r="H90" i="3" s="1"/>
  <c r="F91" i="3"/>
  <c r="H91" i="3" s="1"/>
  <c r="F92" i="3"/>
  <c r="H92" i="3" s="1"/>
  <c r="F93" i="3"/>
  <c r="H93" i="3" s="1"/>
  <c r="F94" i="3"/>
  <c r="H94" i="3" s="1"/>
  <c r="F95" i="3"/>
  <c r="H95" i="3" s="1"/>
  <c r="F96" i="3"/>
  <c r="H96" i="3" s="1"/>
  <c r="F97" i="3"/>
  <c r="H97" i="3" s="1"/>
  <c r="F98" i="3"/>
  <c r="H98" i="3" s="1"/>
  <c r="F99" i="3"/>
  <c r="H99" i="3" s="1"/>
  <c r="F100" i="3"/>
  <c r="H100" i="3" s="1"/>
  <c r="F101" i="3"/>
  <c r="H101" i="3" s="1"/>
  <c r="F102" i="3"/>
  <c r="H102" i="3" s="1"/>
  <c r="F103" i="3"/>
  <c r="H103" i="3" s="1"/>
  <c r="F104" i="3"/>
  <c r="H104" i="3" s="1"/>
  <c r="F105" i="3"/>
  <c r="H105" i="3" s="1"/>
  <c r="F106" i="3"/>
  <c r="H106" i="3" s="1"/>
  <c r="F107" i="3"/>
  <c r="H107" i="3" s="1"/>
  <c r="F108" i="3"/>
  <c r="H108" i="3" s="1"/>
  <c r="F109" i="3"/>
  <c r="H109" i="3" s="1"/>
  <c r="F110" i="3"/>
  <c r="H110" i="3" s="1"/>
  <c r="F111" i="3"/>
  <c r="H111" i="3" s="1"/>
  <c r="F112" i="3"/>
  <c r="H112" i="3" s="1"/>
  <c r="F113" i="3"/>
  <c r="H113" i="3" s="1"/>
  <c r="F114" i="3"/>
  <c r="H114" i="3" s="1"/>
  <c r="F115" i="3"/>
  <c r="H115" i="3" s="1"/>
  <c r="F116" i="3"/>
  <c r="H116" i="3" s="1"/>
  <c r="F117" i="3"/>
  <c r="H117" i="3" s="1"/>
  <c r="F118" i="3"/>
  <c r="H118" i="3" s="1"/>
  <c r="F119" i="3"/>
  <c r="H119" i="3" s="1"/>
  <c r="F120" i="3"/>
  <c r="H120" i="3" s="1"/>
  <c r="F121" i="3"/>
  <c r="H121" i="3" s="1"/>
  <c r="F122" i="3"/>
  <c r="H122" i="3" s="1"/>
  <c r="F123" i="3"/>
  <c r="H123" i="3" s="1"/>
  <c r="F124" i="3"/>
  <c r="H124" i="3" s="1"/>
  <c r="F125" i="3"/>
  <c r="H125" i="3" s="1"/>
  <c r="F126" i="3"/>
  <c r="H126" i="3" s="1"/>
  <c r="F127" i="3"/>
  <c r="H127" i="3" s="1"/>
  <c r="F128" i="3"/>
  <c r="H128" i="3" s="1"/>
  <c r="F129" i="3"/>
  <c r="H129" i="3" s="1"/>
  <c r="F130" i="3"/>
  <c r="H130" i="3" s="1"/>
  <c r="F131" i="3"/>
  <c r="H131" i="3" s="1"/>
  <c r="F132" i="3"/>
  <c r="H132" i="3" s="1"/>
  <c r="F133" i="3"/>
  <c r="H133" i="3" s="1"/>
  <c r="F134" i="3"/>
  <c r="H134" i="3" s="1"/>
  <c r="F135" i="3"/>
  <c r="H135" i="3" s="1"/>
  <c r="F136" i="3"/>
  <c r="H136" i="3" s="1"/>
  <c r="F137" i="3"/>
  <c r="H137" i="3" s="1"/>
  <c r="F138" i="3"/>
  <c r="H138" i="3" s="1"/>
  <c r="F139" i="3"/>
  <c r="H139" i="3" s="1"/>
  <c r="F140" i="3"/>
  <c r="H140" i="3" s="1"/>
  <c r="F141" i="3"/>
  <c r="H141" i="3" s="1"/>
  <c r="F142" i="3"/>
  <c r="H142" i="3" s="1"/>
  <c r="F143" i="3"/>
  <c r="H143" i="3" s="1"/>
  <c r="F144" i="3"/>
  <c r="H144" i="3" s="1"/>
  <c r="F145" i="3"/>
  <c r="H145" i="3" s="1"/>
  <c r="F146" i="3"/>
  <c r="H146" i="3" s="1"/>
  <c r="F147" i="3"/>
  <c r="H147" i="3" s="1"/>
  <c r="F148" i="3"/>
  <c r="H148" i="3" s="1"/>
  <c r="F149" i="3"/>
  <c r="H149" i="3" s="1"/>
  <c r="F150" i="3"/>
  <c r="H150" i="3" s="1"/>
  <c r="F151" i="3"/>
  <c r="H151" i="3" s="1"/>
  <c r="F2" i="3"/>
  <c r="H2" i="3" s="1"/>
  <c r="F3" i="2"/>
  <c r="H3" i="2" s="1"/>
  <c r="F4" i="2"/>
  <c r="H4" i="2" s="1"/>
  <c r="F5" i="2"/>
  <c r="H5" i="2" s="1"/>
  <c r="F6" i="2"/>
  <c r="F7" i="2"/>
  <c r="H7" i="2" s="1"/>
  <c r="F8" i="2"/>
  <c r="H8" i="2" s="1"/>
  <c r="F9" i="2"/>
  <c r="H9" i="2" s="1"/>
  <c r="F10" i="2"/>
  <c r="F11" i="2"/>
  <c r="H11" i="2" s="1"/>
  <c r="F12" i="2"/>
  <c r="H12" i="2" s="1"/>
  <c r="F13" i="2"/>
  <c r="H13" i="2" s="1"/>
  <c r="F14" i="2"/>
  <c r="F15" i="2"/>
  <c r="H15" i="2" s="1"/>
  <c r="F16" i="2"/>
  <c r="H16" i="2" s="1"/>
  <c r="F17" i="2"/>
  <c r="H17" i="2" s="1"/>
  <c r="F18" i="2"/>
  <c r="F19" i="2"/>
  <c r="H19" i="2" s="1"/>
  <c r="F20" i="2"/>
  <c r="H20" i="2" s="1"/>
  <c r="F21" i="2"/>
  <c r="H21" i="2" s="1"/>
  <c r="F22" i="2"/>
  <c r="F23" i="2"/>
  <c r="H23" i="2" s="1"/>
  <c r="F24" i="2"/>
  <c r="H24" i="2" s="1"/>
  <c r="F25" i="2"/>
  <c r="H25" i="2" s="1"/>
  <c r="F26" i="2"/>
  <c r="F27" i="2"/>
  <c r="H27" i="2" s="1"/>
  <c r="F28" i="2"/>
  <c r="H28" i="2" s="1"/>
  <c r="F29" i="2"/>
  <c r="H29" i="2" s="1"/>
  <c r="F30" i="2"/>
  <c r="F31" i="2"/>
  <c r="H31" i="2" s="1"/>
  <c r="F32" i="2"/>
  <c r="H32" i="2" s="1"/>
  <c r="F33" i="2"/>
  <c r="H33" i="2" s="1"/>
  <c r="F34" i="2"/>
  <c r="F35" i="2"/>
  <c r="H35" i="2" s="1"/>
  <c r="F36" i="2"/>
  <c r="H36" i="2" s="1"/>
  <c r="F37" i="2"/>
  <c r="H37" i="2" s="1"/>
  <c r="F38" i="2"/>
  <c r="F39" i="2"/>
  <c r="H39" i="2" s="1"/>
  <c r="F40" i="2"/>
  <c r="H40" i="2" s="1"/>
  <c r="F41" i="2"/>
  <c r="H41" i="2" s="1"/>
  <c r="F42" i="2"/>
  <c r="F43" i="2"/>
  <c r="H43" i="2" s="1"/>
  <c r="F44" i="2"/>
  <c r="H44" i="2" s="1"/>
  <c r="F45" i="2"/>
  <c r="H45" i="2" s="1"/>
  <c r="F46" i="2"/>
  <c r="F47" i="2"/>
  <c r="H47" i="2" s="1"/>
  <c r="F48" i="2"/>
  <c r="H48" i="2" s="1"/>
  <c r="F49" i="2"/>
  <c r="H49" i="2" s="1"/>
  <c r="F50" i="2"/>
  <c r="F51" i="2"/>
  <c r="H51" i="2" s="1"/>
  <c r="F52" i="2"/>
  <c r="H52" i="2" s="1"/>
  <c r="F53" i="2"/>
  <c r="H53" i="2" s="1"/>
  <c r="F54" i="2"/>
  <c r="F55" i="2"/>
  <c r="H55" i="2" s="1"/>
  <c r="F56" i="2"/>
  <c r="H56" i="2" s="1"/>
  <c r="F57" i="2"/>
  <c r="H57" i="2" s="1"/>
  <c r="F58" i="2"/>
  <c r="F59" i="2"/>
  <c r="H59" i="2" s="1"/>
  <c r="F60" i="2"/>
  <c r="H60" i="2" s="1"/>
  <c r="F61" i="2"/>
  <c r="H61" i="2" s="1"/>
  <c r="F62" i="2"/>
  <c r="F63" i="2"/>
  <c r="H63" i="2" s="1"/>
  <c r="F64" i="2"/>
  <c r="H64" i="2" s="1"/>
  <c r="F65" i="2"/>
  <c r="H65" i="2" s="1"/>
  <c r="F66" i="2"/>
  <c r="F67" i="2"/>
  <c r="H67" i="2" s="1"/>
  <c r="F68" i="2"/>
  <c r="H68" i="2" s="1"/>
  <c r="F69" i="2"/>
  <c r="H69" i="2" s="1"/>
  <c r="F70" i="2"/>
  <c r="F71" i="2"/>
  <c r="H71" i="2" s="1"/>
  <c r="F72" i="2"/>
  <c r="H72" i="2" s="1"/>
  <c r="F73" i="2"/>
  <c r="H73" i="2" s="1"/>
  <c r="F74" i="2"/>
  <c r="F75" i="2"/>
  <c r="H75" i="2" s="1"/>
  <c r="F76" i="2"/>
  <c r="H76" i="2" s="1"/>
  <c r="F77" i="2"/>
  <c r="H77" i="2" s="1"/>
  <c r="F78" i="2"/>
  <c r="F79" i="2"/>
  <c r="H79" i="2" s="1"/>
  <c r="F80" i="2"/>
  <c r="H80" i="2" s="1"/>
  <c r="F81" i="2"/>
  <c r="H81" i="2" s="1"/>
  <c r="F82" i="2"/>
  <c r="F83" i="2"/>
  <c r="H83" i="2" s="1"/>
  <c r="F84" i="2"/>
  <c r="H84" i="2" s="1"/>
  <c r="F85" i="2"/>
  <c r="H85" i="2" s="1"/>
  <c r="F86" i="2"/>
  <c r="F87" i="2"/>
  <c r="H87" i="2" s="1"/>
  <c r="F88" i="2"/>
  <c r="H88" i="2" s="1"/>
  <c r="F89" i="2"/>
  <c r="H89" i="2" s="1"/>
  <c r="F90" i="2"/>
  <c r="F91" i="2"/>
  <c r="H91" i="2" s="1"/>
  <c r="F92" i="2"/>
  <c r="H92" i="2" s="1"/>
  <c r="F2" i="2"/>
  <c r="H2" i="2" s="1"/>
  <c r="F3" i="1"/>
  <c r="H3" i="1" s="1"/>
  <c r="F4" i="1"/>
  <c r="H4" i="1" s="1"/>
  <c r="F5" i="1"/>
  <c r="H5" i="1" s="1"/>
  <c r="F6" i="1"/>
  <c r="H6" i="1" s="1"/>
  <c r="F7" i="1"/>
  <c r="F8" i="1"/>
  <c r="H8" i="1" s="1"/>
  <c r="F9" i="1"/>
  <c r="H9" i="1" s="1"/>
  <c r="F10" i="1"/>
  <c r="F11" i="1"/>
  <c r="F12" i="1"/>
  <c r="H12" i="1" s="1"/>
  <c r="F13" i="1"/>
  <c r="H13" i="1" s="1"/>
  <c r="F14" i="1"/>
  <c r="F15" i="1"/>
  <c r="F16" i="1"/>
  <c r="H16" i="1" s="1"/>
  <c r="F17" i="1"/>
  <c r="H17" i="1" s="1"/>
  <c r="F18" i="1"/>
  <c r="F19" i="1"/>
  <c r="F20" i="1"/>
  <c r="H20" i="1" s="1"/>
  <c r="F21" i="1"/>
  <c r="H21" i="1" s="1"/>
  <c r="F22" i="1"/>
  <c r="F23" i="1"/>
  <c r="F24" i="1"/>
  <c r="H24" i="1" s="1"/>
  <c r="F25" i="1"/>
  <c r="H25" i="1" s="1"/>
  <c r="F26" i="1"/>
  <c r="F27" i="1"/>
  <c r="F28" i="1"/>
  <c r="H28" i="1" s="1"/>
  <c r="F29" i="1"/>
  <c r="H29" i="1" s="1"/>
  <c r="F30" i="1"/>
  <c r="F31" i="1"/>
  <c r="F32" i="1"/>
  <c r="H32" i="1" s="1"/>
  <c r="F33" i="1"/>
  <c r="H33" i="1" s="1"/>
  <c r="F34" i="1"/>
  <c r="F35" i="1"/>
  <c r="F36" i="1"/>
  <c r="H36" i="1" s="1"/>
  <c r="F37" i="1"/>
  <c r="H37" i="1" s="1"/>
  <c r="F38" i="1"/>
  <c r="F39" i="1"/>
  <c r="F40" i="1"/>
  <c r="H40" i="1" s="1"/>
  <c r="F41" i="1"/>
  <c r="H41" i="1" s="1"/>
  <c r="F42" i="1"/>
  <c r="F43" i="1"/>
  <c r="F44" i="1"/>
  <c r="H44" i="1" s="1"/>
  <c r="F45" i="1"/>
  <c r="H45" i="1" s="1"/>
  <c r="F46" i="1"/>
  <c r="F47" i="1"/>
  <c r="F48" i="1"/>
  <c r="H48" i="1" s="1"/>
  <c r="F49" i="1"/>
  <c r="H49" i="1" s="1"/>
  <c r="F50" i="1"/>
  <c r="F51" i="1"/>
  <c r="F52" i="1"/>
  <c r="H52" i="1" s="1"/>
  <c r="F53" i="1"/>
  <c r="H53" i="1" s="1"/>
  <c r="F54" i="1"/>
  <c r="F55" i="1"/>
  <c r="F56" i="1"/>
  <c r="H56" i="1" s="1"/>
  <c r="F57" i="1"/>
  <c r="H57" i="1" s="1"/>
  <c r="F58" i="1"/>
  <c r="F59" i="1"/>
  <c r="F60" i="1"/>
  <c r="H60" i="1" s="1"/>
  <c r="F61" i="1"/>
  <c r="H61" i="1" s="1"/>
  <c r="F62" i="1"/>
  <c r="F63" i="1"/>
  <c r="F64" i="1"/>
  <c r="H64" i="1" s="1"/>
  <c r="F65" i="1"/>
  <c r="H65" i="1" s="1"/>
  <c r="F66" i="1"/>
  <c r="F67" i="1"/>
  <c r="F68" i="1"/>
  <c r="H68" i="1" s="1"/>
  <c r="F69" i="1"/>
  <c r="H69" i="1" s="1"/>
  <c r="F70" i="1"/>
  <c r="F71" i="1"/>
  <c r="F72" i="1"/>
  <c r="H72" i="1" s="1"/>
  <c r="F73" i="1"/>
  <c r="H73" i="1" s="1"/>
  <c r="F74" i="1"/>
  <c r="F75" i="1"/>
  <c r="F76" i="1"/>
  <c r="H76" i="1" s="1"/>
  <c r="F77" i="1"/>
  <c r="H77" i="1" s="1"/>
  <c r="F78" i="1"/>
  <c r="F79" i="1"/>
  <c r="F80" i="1"/>
  <c r="H80" i="1" s="1"/>
  <c r="F81" i="1"/>
  <c r="H81" i="1" s="1"/>
  <c r="F82" i="1"/>
  <c r="F83" i="1"/>
  <c r="F84" i="1"/>
  <c r="H84" i="1" s="1"/>
  <c r="F85" i="1"/>
  <c r="H85" i="1" s="1"/>
  <c r="F86" i="1"/>
  <c r="F87" i="1"/>
  <c r="F88" i="1"/>
  <c r="H88" i="1" s="1"/>
  <c r="F89" i="1"/>
  <c r="H89" i="1" s="1"/>
  <c r="F90" i="1"/>
  <c r="F91" i="1"/>
  <c r="F92" i="1"/>
  <c r="H92" i="1" s="1"/>
  <c r="F93" i="1"/>
  <c r="H93" i="1" s="1"/>
  <c r="F94" i="1"/>
  <c r="F95" i="1"/>
  <c r="F96" i="1"/>
  <c r="H96" i="1" s="1"/>
  <c r="F97" i="1"/>
  <c r="H97" i="1" s="1"/>
  <c r="F98" i="1"/>
  <c r="F99" i="1"/>
  <c r="F100" i="1"/>
  <c r="H100" i="1" s="1"/>
  <c r="F101" i="1"/>
  <c r="H101" i="1" s="1"/>
  <c r="F102" i="1"/>
  <c r="F103" i="1"/>
  <c r="F104" i="1"/>
  <c r="H104" i="1" s="1"/>
  <c r="F105" i="1"/>
  <c r="H105" i="1" s="1"/>
  <c r="F106" i="1"/>
  <c r="F107" i="1"/>
  <c r="F108" i="1"/>
  <c r="H108" i="1" s="1"/>
  <c r="F109" i="1"/>
  <c r="H109" i="1" s="1"/>
  <c r="F110" i="1"/>
  <c r="F111" i="1"/>
  <c r="F112" i="1"/>
  <c r="H112" i="1" s="1"/>
  <c r="F113" i="1"/>
  <c r="H113" i="1" s="1"/>
  <c r="F114" i="1"/>
  <c r="F115" i="1"/>
  <c r="F116" i="1"/>
  <c r="H116" i="1" s="1"/>
  <c r="F117" i="1"/>
  <c r="H117" i="1" s="1"/>
  <c r="F118" i="1"/>
  <c r="F119" i="1"/>
  <c r="F120" i="1"/>
  <c r="H120" i="1" s="1"/>
  <c r="F121" i="1"/>
  <c r="H121" i="1" s="1"/>
  <c r="F122" i="1"/>
  <c r="F123" i="1"/>
  <c r="F124" i="1"/>
  <c r="H124" i="1" s="1"/>
  <c r="F125" i="1"/>
  <c r="H125" i="1" s="1"/>
  <c r="F126" i="1"/>
  <c r="F127" i="1"/>
  <c r="F128" i="1"/>
  <c r="H128" i="1" s="1"/>
  <c r="F129" i="1"/>
  <c r="H129" i="1" s="1"/>
  <c r="F130" i="1"/>
  <c r="F131" i="1"/>
  <c r="F132" i="1"/>
  <c r="H132" i="1" s="1"/>
  <c r="F133" i="1"/>
  <c r="H133" i="1" s="1"/>
  <c r="F134" i="1"/>
  <c r="F135" i="1"/>
  <c r="F136" i="1"/>
  <c r="H136" i="1" s="1"/>
  <c r="F137" i="1"/>
  <c r="H137" i="1" s="1"/>
  <c r="F138" i="1"/>
  <c r="F139" i="1"/>
  <c r="F140" i="1"/>
  <c r="H140" i="1" s="1"/>
  <c r="F141" i="1"/>
  <c r="H141" i="1" s="1"/>
  <c r="F142" i="1"/>
  <c r="F143" i="1"/>
  <c r="F144" i="1"/>
  <c r="H144" i="1" s="1"/>
  <c r="F145" i="1"/>
  <c r="H145" i="1" s="1"/>
  <c r="F146" i="1"/>
  <c r="F147" i="1"/>
  <c r="F148" i="1"/>
  <c r="H148" i="1" s="1"/>
  <c r="F149" i="1"/>
  <c r="H149" i="1" s="1"/>
  <c r="F150" i="1"/>
  <c r="F151" i="1"/>
  <c r="F152" i="1"/>
  <c r="H152" i="1" s="1"/>
  <c r="F153" i="1"/>
  <c r="H153" i="1" s="1"/>
  <c r="F154" i="1"/>
  <c r="F155" i="1"/>
  <c r="F156" i="1"/>
  <c r="H156" i="1" s="1"/>
  <c r="F157" i="1"/>
  <c r="H157" i="1" s="1"/>
  <c r="F158" i="1"/>
  <c r="F159" i="1"/>
  <c r="F160" i="1"/>
  <c r="H160" i="1" s="1"/>
  <c r="F161" i="1"/>
  <c r="H161" i="1" s="1"/>
  <c r="F162" i="1"/>
  <c r="F163" i="1"/>
  <c r="F164" i="1"/>
  <c r="H164" i="1" s="1"/>
  <c r="F165" i="1"/>
  <c r="H165" i="1" s="1"/>
  <c r="F166" i="1"/>
  <c r="F167" i="1"/>
  <c r="F168" i="1"/>
  <c r="H168" i="1" s="1"/>
  <c r="F169" i="1"/>
  <c r="H169" i="1" s="1"/>
  <c r="F170" i="1"/>
  <c r="F171" i="1"/>
  <c r="F172" i="1"/>
  <c r="H172" i="1" s="1"/>
  <c r="F173" i="1"/>
  <c r="H173" i="1" s="1"/>
  <c r="F174" i="1"/>
  <c r="F175" i="1"/>
  <c r="F176" i="1"/>
  <c r="H176" i="1" s="1"/>
  <c r="F177" i="1"/>
  <c r="H177" i="1" s="1"/>
  <c r="F178" i="1"/>
  <c r="F179" i="1"/>
  <c r="F180" i="1"/>
  <c r="H180" i="1" s="1"/>
  <c r="F181" i="1"/>
  <c r="H181" i="1" s="1"/>
  <c r="F182" i="1"/>
  <c r="F2" i="1"/>
  <c r="G68" i="5" l="1"/>
  <c r="G67" i="5"/>
  <c r="G66" i="5"/>
  <c r="G70" i="5"/>
  <c r="G65" i="5"/>
  <c r="G71" i="5"/>
  <c r="G55" i="5"/>
  <c r="G54" i="5"/>
  <c r="G69" i="5"/>
  <c r="G63" i="5"/>
  <c r="G62" i="5"/>
  <c r="G45" i="5"/>
  <c r="G43" i="5"/>
  <c r="G42" i="5"/>
  <c r="G39" i="5"/>
  <c r="G27" i="5"/>
  <c r="G26" i="5"/>
  <c r="G35" i="5"/>
  <c r="H32" i="5"/>
  <c r="G34" i="5"/>
  <c r="G33" i="5"/>
  <c r="G15" i="5"/>
  <c r="H9" i="5"/>
  <c r="G14" i="5"/>
  <c r="H8" i="5"/>
  <c r="G10" i="5"/>
  <c r="G24" i="5"/>
  <c r="G23" i="5"/>
  <c r="G22" i="5"/>
  <c r="G21" i="5"/>
  <c r="G3" i="5"/>
</calcChain>
</file>

<file path=xl/sharedStrings.xml><?xml version="1.0" encoding="utf-8"?>
<sst xmlns="http://schemas.openxmlformats.org/spreadsheetml/2006/main" count="2822" uniqueCount="1005">
  <si>
    <t>Make</t>
  </si>
  <si>
    <t>Model</t>
  </si>
  <si>
    <t>Engine</t>
  </si>
  <si>
    <t>GTA Rate</t>
  </si>
  <si>
    <t>S1</t>
  </si>
  <si>
    <t>Citroen</t>
  </si>
  <si>
    <t>Citroen C1 (1.0)</t>
  </si>
  <si>
    <t>Fiat</t>
  </si>
  <si>
    <t>Fiat Seicento (899cc)</t>
  </si>
  <si>
    <t>Microcar</t>
  </si>
  <si>
    <t>Microcar Virgo (1.0)</t>
  </si>
  <si>
    <t>Nissan</t>
  </si>
  <si>
    <t>Nissan Micra (1.0)</t>
  </si>
  <si>
    <t>Peugeot</t>
  </si>
  <si>
    <t>Peugeot 107 (1.0)</t>
  </si>
  <si>
    <t>Peugeot 208 Access plus 68 BHP 1000cc</t>
  </si>
  <si>
    <t>Reva</t>
  </si>
  <si>
    <t>Reva G-Wiz Electric</t>
  </si>
  <si>
    <t>n/a</t>
  </si>
  <si>
    <t>Smart</t>
  </si>
  <si>
    <t>Smart pulse (600cc)</t>
  </si>
  <si>
    <t>Toyota</t>
  </si>
  <si>
    <t>Toyota Yaris (1.0)</t>
  </si>
  <si>
    <t>Vauxhall</t>
  </si>
  <si>
    <t>Vauxhall Agila (1.0)</t>
  </si>
  <si>
    <t>VW</t>
  </si>
  <si>
    <t>VW Polo (1.0)</t>
  </si>
  <si>
    <t>S2</t>
  </si>
  <si>
    <t>Fiat 500 L Lounge Multijet</t>
  </si>
  <si>
    <t>Fiat 500 Lounge</t>
  </si>
  <si>
    <t>Fiat 500 Pop</t>
  </si>
  <si>
    <t>Fiat Panda 1.2 Lounge 1242cc</t>
  </si>
  <si>
    <t>Fiat Punto ELX.5Dr. 1.2ltr</t>
  </si>
  <si>
    <t>Ford</t>
  </si>
  <si>
    <t>Ford Fiesta (1.2)</t>
  </si>
  <si>
    <t>Hyundai</t>
  </si>
  <si>
    <t>Hyundai I10 1.2 Active 1248cc</t>
  </si>
  <si>
    <t>Renault</t>
  </si>
  <si>
    <t>Renault Clio (1.2)</t>
  </si>
  <si>
    <t>Skoda</t>
  </si>
  <si>
    <t>Skoda Fabia Elegance TSI 105bhp 1197cc</t>
  </si>
  <si>
    <t>Smart ForFour (1.1)</t>
  </si>
  <si>
    <t>Suzuki</t>
  </si>
  <si>
    <t>Suzuki Wagon 1229cc</t>
  </si>
  <si>
    <t>Vauxhall Corsa (1.2)</t>
  </si>
  <si>
    <t>VW Polo 1.2</t>
  </si>
  <si>
    <t>S3</t>
  </si>
  <si>
    <t>Ford Fiesta 1.0T Zetec EcoBoost 100PS 998cc</t>
  </si>
  <si>
    <t>Ford Focus (1.4)</t>
  </si>
  <si>
    <t>Honda</t>
  </si>
  <si>
    <t>Honda Civic (1.4)</t>
  </si>
  <si>
    <t>Honda Jazz 1.5</t>
  </si>
  <si>
    <t>Hyundai Getz D GRTD/GSI  1.5</t>
  </si>
  <si>
    <t>Hyundai i30 1.4 Active 100ps 5dr (petrol) 1400cc</t>
  </si>
  <si>
    <t>Nissan Micra 0.9 IG-T N Connecta</t>
  </si>
  <si>
    <t>Nissan Note Acenta 1398.(moved. M . 2010)</t>
  </si>
  <si>
    <t>Peugeot 207 1.4</t>
  </si>
  <si>
    <t>Peugeot 307 (1.4)</t>
  </si>
  <si>
    <t>Peugeot 308.(all derivatives)( moved to S4.11.04.11)</t>
  </si>
  <si>
    <t>Renault Captur Dynamique TCe 90</t>
  </si>
  <si>
    <t>Clio (1.5) Hatchback</t>
  </si>
  <si>
    <t>Renault Wind roadster dynamique S TCE convertible 1149cc</t>
  </si>
  <si>
    <t>Smart ForFour (1.3)</t>
  </si>
  <si>
    <t>Jimny 1.4</t>
  </si>
  <si>
    <t>Toyota Corolla (1.4)</t>
  </si>
  <si>
    <t>Vauxhall Astra (1.4)</t>
  </si>
  <si>
    <t>Vauxhall Astra 1.2 CDTI 16V 95PS ECOFLEX 1248cc</t>
  </si>
  <si>
    <t>Vauxhall Astra Sport Hatch 1.6i 16v Sri (115) 3dr 1600cc</t>
  </si>
  <si>
    <t>Vauxhall Corsa 1.4</t>
  </si>
  <si>
    <t>VW Golf Mk VI 1.2S (85 PS)</t>
  </si>
  <si>
    <t>VW Polo (1.4)</t>
  </si>
  <si>
    <t>S4</t>
  </si>
  <si>
    <t>Alfa Romeo</t>
  </si>
  <si>
    <t>Alfa Romeo Mito 1.4 VELOCE MULTIAIR</t>
  </si>
  <si>
    <t>Chevrolet</t>
  </si>
  <si>
    <t>Chevrolet Cruze LS 4dr Sal</t>
  </si>
  <si>
    <t>Citroen C3 Pluriel Convertible 1360</t>
  </si>
  <si>
    <t>Citroen DS3 Black &amp; White HDI 90 3dr Hatchback Diesel 1560cc</t>
  </si>
  <si>
    <t>Ford Focus (1.6)</t>
  </si>
  <si>
    <t>Ford Focus Titanium 99 &amp; 125 BHP 999cc</t>
  </si>
  <si>
    <t>Ford Focus Zetec (130 PS) 1 litre</t>
  </si>
  <si>
    <t>Ford Street ka 1.6</t>
  </si>
  <si>
    <t>Eco Sport 1000cc</t>
  </si>
  <si>
    <t>Honda Insight hybrid 1399</t>
  </si>
  <si>
    <t>Hyundai Comfort 130 5Dr 1600ccs</t>
  </si>
  <si>
    <t>Mini</t>
  </si>
  <si>
    <t>Mini First Hatchback 1.4L</t>
  </si>
  <si>
    <t>Mini One 1.6</t>
  </si>
  <si>
    <t>Mitsubishi</t>
  </si>
  <si>
    <t>Mitsubishi Lancer GS 2</t>
  </si>
  <si>
    <t>Nissan Juke Acenta DCI 1.5ltr</t>
  </si>
  <si>
    <t>Peugeot 2008 1600cc</t>
  </si>
  <si>
    <t>Peugeot 2008 Allure E-hdi (5 Door Hatchback) 1.6</t>
  </si>
  <si>
    <t>Peugeot 206 Allure Coupe 1587cc</t>
  </si>
  <si>
    <t>Peugeot 207 Sport.SW 1.6</t>
  </si>
  <si>
    <t>Peugeot 307 (1.6)</t>
  </si>
  <si>
    <t>Peugeot 308 1.4.Ltr (All derivatives other than Conv/coupe)</t>
  </si>
  <si>
    <t>Renault Captur Hatchback 1.5 dCi 90 Expression+ 5dr 1461 cc</t>
  </si>
  <si>
    <t>Renault Megane 1.5</t>
  </si>
  <si>
    <t>Renault Megane 1.6</t>
  </si>
  <si>
    <t>Renault Megane Dynamique.1.4</t>
  </si>
  <si>
    <t>Renault Megane Dynamique.1.6</t>
  </si>
  <si>
    <t>Renault Modus 1.6</t>
  </si>
  <si>
    <t>Seat</t>
  </si>
  <si>
    <t>Seat Altea 1.4 (moved from M2 19.5.10)</t>
  </si>
  <si>
    <t>Seat Leon SE TSI 1197cc</t>
  </si>
  <si>
    <t>Seat Toledo 1.6 105 TDI Ecomotive 1598cc</t>
  </si>
  <si>
    <t>Skoda Octavia 1197 SE Tsi (105PS)</t>
  </si>
  <si>
    <t>Skoda Octavia Elegance TSI S-A 1390cc</t>
  </si>
  <si>
    <t>Skoda Rapid Elegance TDI CR 1598cc</t>
  </si>
  <si>
    <t>Skoda Rapid Elegance TSI 1197cc</t>
  </si>
  <si>
    <t>Smart ForFour (1.5)</t>
  </si>
  <si>
    <t>Toyota Prius 1500</t>
  </si>
  <si>
    <t>Vauxhall Astra (1.6)</t>
  </si>
  <si>
    <t>VW Beetle 1.4</t>
  </si>
  <si>
    <t>VW Golf GT TSI 1.4</t>
  </si>
  <si>
    <t>VW Golf SE 1.0 TSI 110PS DSG</t>
  </si>
  <si>
    <t>T-Roc Design 1.0 TSi</t>
  </si>
  <si>
    <t>S5</t>
  </si>
  <si>
    <t>Alfa Mito 1598</t>
  </si>
  <si>
    <t>Ford Mondeo (1.8)</t>
  </si>
  <si>
    <t>Ford Street ka 1.6 convertible</t>
  </si>
  <si>
    <t>Honda 2012 Civic I-VTEC SE 5 dr Auto Hatchback 1.8</t>
  </si>
  <si>
    <t>Honda CR-Z. 1.5 ltr. Hybrid Eng</t>
  </si>
  <si>
    <t>MG</t>
  </si>
  <si>
    <t>MG6 GT S 160PS 1796 Turbo</t>
  </si>
  <si>
    <t>Mitsubishi ASX 3 (1.8)</t>
  </si>
  <si>
    <t>Mitsubishi Colt CZC cabriolet 1.5</t>
  </si>
  <si>
    <t>Peugeot 206 1.6 sport convertible</t>
  </si>
  <si>
    <t>Peugeot 308(all derivatives except Con/ Coupe)</t>
  </si>
  <si>
    <t>Peugeot 308s 5 dr</t>
  </si>
  <si>
    <t>Peugeot 407 (1.8)</t>
  </si>
  <si>
    <t>Peugeot 508 HDI SW Active 1560cc</t>
  </si>
  <si>
    <t>Renault Laguna (1.8)</t>
  </si>
  <si>
    <t>Skoda 1.6TD CR Elegance</t>
  </si>
  <si>
    <t>Toyota Auris.1.8 Hybrid.Synergy</t>
  </si>
  <si>
    <t>Toyota Avensis 1.8</t>
  </si>
  <si>
    <t>Toyota Prius 1.8</t>
  </si>
  <si>
    <t>Vauxhall Astra Sportive. DTI. 1686ccs</t>
  </si>
  <si>
    <t>Vauxhall Astra. SE2 Coupe. 1796ccs</t>
  </si>
  <si>
    <t>Vauxhall Astra. Twin Top. Conv. 1600i</t>
  </si>
  <si>
    <t>Vauxhall Insignia 1600cc</t>
  </si>
  <si>
    <t>Vauxhall Insignia SE 1.4 Petrol</t>
  </si>
  <si>
    <t>Vauxhall Mokka 1.4 Exclus 140PS 2 wheel drive</t>
  </si>
  <si>
    <t>Vauxhall Mokka 2WD 130 ps derivatives</t>
  </si>
  <si>
    <t>Vauxhall Tigra coupe cabriolet 1.8</t>
  </si>
  <si>
    <t>Vauxhall Vectra (1.8)</t>
  </si>
  <si>
    <t>VW Beetle 1.4 convertible</t>
  </si>
  <si>
    <t>VW Golf Hatch 5 door1.6 FSI</t>
  </si>
  <si>
    <t>VW Golf SE 2 door Cabriolet 1595cc</t>
  </si>
  <si>
    <t>VW Golf. 1.6. TDI. Bluemotion.tech DSG</t>
  </si>
  <si>
    <t>VW Jetta Sport Bluemotion 1589cc</t>
  </si>
  <si>
    <t>VW Passat S TDI Bluemotion Technology estate 1.6</t>
  </si>
  <si>
    <t>VW Passat SE 20v Turbo1791 (petrol)</t>
  </si>
  <si>
    <t>S6</t>
  </si>
  <si>
    <t>Chrysler</t>
  </si>
  <si>
    <t>Chrysler Neon 2.0</t>
  </si>
  <si>
    <t>Citroen C5 Design 16v 2.0l</t>
  </si>
  <si>
    <t>Citroen DS3 cabriolet THP DSport 2d</t>
  </si>
  <si>
    <t>Ford Mondeo (2.0)</t>
  </si>
  <si>
    <t>Honda Accord VTEC SE Exec Auto</t>
  </si>
  <si>
    <t>Honda Civic 2.2i Sport</t>
  </si>
  <si>
    <t>Mazda</t>
  </si>
  <si>
    <t>Mazda Sport. 2ltr. Diesel</t>
  </si>
  <si>
    <t>MGZT 2.0 diesel</t>
  </si>
  <si>
    <t>Nissan Primera 2.2 turbo diesel</t>
  </si>
  <si>
    <t>Nissan Leaf Acenta Electric vehicle</t>
  </si>
  <si>
    <t>Peugeot 206 2.0</t>
  </si>
  <si>
    <t>Peugeot 206 GTI (standard)</t>
  </si>
  <si>
    <t>Peugeot 308 1.6ltr Vti. Sport. 2 Dr. Cab/Coupe</t>
  </si>
  <si>
    <t>Peugeot 308 all derivatives other than Conv/Coupe)</t>
  </si>
  <si>
    <t>Peugeot 407 (2.0)</t>
  </si>
  <si>
    <t>Peugeot 508 SR HDI 1997cc</t>
  </si>
  <si>
    <t>Renault Laguna (2.0)</t>
  </si>
  <si>
    <t>Rover</t>
  </si>
  <si>
    <t>Rover 75 2.0</t>
  </si>
  <si>
    <t>Seat Exeo 2.0ltr</t>
  </si>
  <si>
    <t>Seat EXEO SPORT TECH CR TDI CV 1968cc</t>
  </si>
  <si>
    <t>Skoda Octavia.2.0.tr. VRS</t>
  </si>
  <si>
    <t>Subaru</t>
  </si>
  <si>
    <t>Subaru Impreza Sportwagon 2.0</t>
  </si>
  <si>
    <t>Toyota Avensis 2.0</t>
  </si>
  <si>
    <t>Toyota Avensis TSPIRIT D-4D 2.2L</t>
  </si>
  <si>
    <t>Vauxhall Vectra (2.0)</t>
  </si>
  <si>
    <t>Vauxhall/Opal Insignia 1800cc</t>
  </si>
  <si>
    <t>Vauxhall/Opal Insignia 2000cc</t>
  </si>
  <si>
    <t>VW Beetle 2.0</t>
  </si>
  <si>
    <t>VW Golf (excl GTi) 2.0</t>
  </si>
  <si>
    <t>VW Golf 1.9 TDI SE</t>
  </si>
  <si>
    <t>VW Golf GT Tdi 1.9</t>
  </si>
  <si>
    <t>VW Golf GT TDI 140. 2.0L</t>
  </si>
  <si>
    <t>VW TDI Blue Motion Tech R-Line (s/s) 3 dr</t>
  </si>
  <si>
    <t>VW Golf TDI 170 GTD 2000cc</t>
  </si>
  <si>
    <t>VW Golf.TDI Sport 140BHP. 2.0ltr</t>
  </si>
  <si>
    <t>VW Passat 1.9 diesel</t>
  </si>
  <si>
    <t>VW Passat 2.0</t>
  </si>
  <si>
    <t>S7</t>
  </si>
  <si>
    <t>Chevrolet Volt 1398cc (+ electric)</t>
  </si>
  <si>
    <t>Chrysler PT Cruiser 2.4 Touring Cabriolet 2.4</t>
  </si>
  <si>
    <t>Citroen DS5 HDi 160 Dstyle 1997cc</t>
  </si>
  <si>
    <t>Honda Accord I-CDTI Sport 2.2</t>
  </si>
  <si>
    <t>Honda Accord. V-Tec. 2354ccs</t>
  </si>
  <si>
    <t>Kia</t>
  </si>
  <si>
    <t>Stinger</t>
  </si>
  <si>
    <t>Peugeot 407 Sport 2.7L</t>
  </si>
  <si>
    <t>Peugeot 607 (2.2)</t>
  </si>
  <si>
    <t>Renault Megane Cabrio 2.0</t>
  </si>
  <si>
    <t>Renault Megane Coupe Cabriolet 1870</t>
  </si>
  <si>
    <t>Skoda Superb (2.5)</t>
  </si>
  <si>
    <t>Subaru Legacy outback SE E 4x4. 2.5</t>
  </si>
  <si>
    <t>Vauxhall Astra Convertible Linea Rossa 2198</t>
  </si>
  <si>
    <t>Vauxhall Insignia(2010.Current Models – above 2L)</t>
  </si>
  <si>
    <t>Vauxhall Signum (2.8)</t>
  </si>
  <si>
    <t>VW Arteon R-LINE 4 motion 2.0TDI</t>
  </si>
  <si>
    <t>VW Eos Coupe. Cabriolet. 2.0ltr</t>
  </si>
  <si>
    <t>VW EOS FSI 1984cc</t>
  </si>
  <si>
    <t>VW Golf GTD 184 ps 2000cc</t>
  </si>
  <si>
    <t>VW Passat CC. (2.0)</t>
  </si>
  <si>
    <t>VW Passat GT CC TDI 170 (2.0) Coupe Diesel</t>
  </si>
  <si>
    <t>Golf GTE NAV DSG Electric/Petrol</t>
  </si>
  <si>
    <t>M</t>
  </si>
  <si>
    <t>Citroen Berlingo Multispace X 1.4</t>
  </si>
  <si>
    <t>Ford B-Max ecosport 1.0T 125PS EcoBoost 5 Speed</t>
  </si>
  <si>
    <t>Kia Soul 1598ccs</t>
  </si>
  <si>
    <t>Nissan Note(.All versions)</t>
  </si>
  <si>
    <t>Renault Scenic FIDJI 16v 1.4L</t>
  </si>
  <si>
    <t>Vauxhall Meriva 1.6.(old model)</t>
  </si>
  <si>
    <t>Vauxhall Meriva Life 1.4</t>
  </si>
  <si>
    <t>M1</t>
  </si>
  <si>
    <t>Citroen Belingo Multispace.Forte.1868ccs</t>
  </si>
  <si>
    <t>Citroen C4 Picasso VTR + Airdream E - HDI</t>
  </si>
  <si>
    <t>Citroen Picasso (1.8)</t>
  </si>
  <si>
    <t>Citroen Picasso 1.6</t>
  </si>
  <si>
    <t>Fiat 500 L Living MPW seven seat 1.3</t>
  </si>
  <si>
    <t>Fiat 500 L Living MPW seven seat 1.6</t>
  </si>
  <si>
    <t>Ford C-Mac 1.0T Zetec EcoBoost 100PS 998cc</t>
  </si>
  <si>
    <t>Ford Focus C-Max (1.6)</t>
  </si>
  <si>
    <t>Ford Focus C-Max (1.8)</t>
  </si>
  <si>
    <t>Hyundai Tucson SE Nav T-GDI 2WD S-Auto</t>
  </si>
  <si>
    <t>Hyundai IX35 PREMIUM CRDI 1995cc</t>
  </si>
  <si>
    <t>Hyundai IX35. 1.7ltr</t>
  </si>
  <si>
    <t>Sportage 2ISG CRDI 1685cc</t>
  </si>
  <si>
    <t>Mazda Premacy 1.8</t>
  </si>
  <si>
    <t>MG HS SE (Petrol)</t>
  </si>
  <si>
    <t>Nissan Qashqai Acenta/Visia 1.6</t>
  </si>
  <si>
    <t>Peugeot 3008.(1598ccs)</t>
  </si>
  <si>
    <t>Renault GR SCENIC EX-ION DCI106E4 1461cc</t>
  </si>
  <si>
    <t>Renault Grand Scenic. Dynamique. Tom.Tom.TCE. 1397ccs</t>
  </si>
  <si>
    <t>Renault Scenic (1.6)</t>
  </si>
  <si>
    <t>Vauxhall Meriva SE CDTI 1686cc</t>
  </si>
  <si>
    <t>Vauxhall Zafira (1.8)</t>
  </si>
  <si>
    <t>Vauxhall Zafira Life 1598</t>
  </si>
  <si>
    <t>Vauxhall Zafira Tourer 7 seat 110PS 1956 Diesel</t>
  </si>
  <si>
    <t>Vauxhall Zafira Tourer 7 seat 1364 Petrol Turbo 140 PS</t>
  </si>
  <si>
    <t>Vauxhall Zafira Tourer 7 seat 140PS 1796 Petrol</t>
  </si>
  <si>
    <t>Vauxhall Zafira.Design.TDI.1910.ccs</t>
  </si>
  <si>
    <t>VW Golf Plus. 1.4 (all derivatives)</t>
  </si>
  <si>
    <t>VW Golf Plus. 1.6.(all derivatives)</t>
  </si>
  <si>
    <t>VW Sharan.1.4 TSI blue motion Tech .5 Door</t>
  </si>
  <si>
    <t>VW Touran 1.6 (7 seats)</t>
  </si>
  <si>
    <t>M2</t>
  </si>
  <si>
    <t>Citroen C4 Grand Picasso 7 seats 2ltr</t>
  </si>
  <si>
    <t>Citroen Picasso (2.0)</t>
  </si>
  <si>
    <t>Ford S-Max 1.6</t>
  </si>
  <si>
    <t>Ford Focus C-Max (2.0)</t>
  </si>
  <si>
    <t>Ford Galaxy 1.8 TDCi Zetec</t>
  </si>
  <si>
    <t>Honda FR-V 2.0</t>
  </si>
  <si>
    <t>Honda Stream SE sport 2.0</t>
  </si>
  <si>
    <t>Nissan Almera Tino. 7 Seater</t>
  </si>
  <si>
    <t>Nissan Qashqai Acenta 2WD.CVT. 1997ccs</t>
  </si>
  <si>
    <t>Nissan Qashqai Tekna 2WD 1997 cc</t>
  </si>
  <si>
    <t>Peugeot 5008. 1.6HDi</t>
  </si>
  <si>
    <t>Peugeot 5008 EGC Diesel Est</t>
  </si>
  <si>
    <t>Renault Megane Scenic Privilege VVT (140) CVT</t>
  </si>
  <si>
    <t>Renault Scenic (1.9)</t>
  </si>
  <si>
    <t>Vauxhall Zafira (2.0)</t>
  </si>
  <si>
    <t>Vauxhall Zafira (2.2)</t>
  </si>
  <si>
    <t>Vauxhall Zafira Breeze.CDTI.1910ccs</t>
  </si>
  <si>
    <t>Vauxhall Zafira Tourer 7 seat 130PS 1956 Diesel</t>
  </si>
  <si>
    <t>VW Caddy. Life Max. 7 seater</t>
  </si>
  <si>
    <t>VW Tiguan. 1.4. 2WD</t>
  </si>
  <si>
    <t>VW Golf Plus 1.9</t>
  </si>
  <si>
    <t>VW Golf Plus 2.0</t>
  </si>
  <si>
    <t>VW Touran 1.9 (5 seats)</t>
  </si>
  <si>
    <t>M3</t>
  </si>
  <si>
    <t>VW Touran 2.0 (5 seats)</t>
  </si>
  <si>
    <t>Citroen C8 lx hdi 120a 2.0</t>
  </si>
  <si>
    <t>Ford Focus. S.Max.2.0.Zetec</t>
  </si>
  <si>
    <t>Ford Galaxy (1.9)</t>
  </si>
  <si>
    <t>KIA Sedona 2.9</t>
  </si>
  <si>
    <t>Mazda 5 Furano ( 2.0)</t>
  </si>
  <si>
    <t>Renault Espace 1998cc</t>
  </si>
  <si>
    <t>Seat Alhambra Stylance TDI 130 1.9</t>
  </si>
  <si>
    <t>Seat Altea 1.4XL</t>
  </si>
  <si>
    <t>Toyota Previa (2.0)</t>
  </si>
  <si>
    <t>Toyota Verso Estate 2.2</t>
  </si>
  <si>
    <t>Toyota VERSO T2 D-4D 2.0L</t>
  </si>
  <si>
    <t>Vauxhall Zafira Tourer 7 seat 165PS 1956 Diesel</t>
  </si>
  <si>
    <t>VW Sharan (1.8)</t>
  </si>
  <si>
    <t>VW Touran 1.9 (7 seats)</t>
  </si>
  <si>
    <t>VW Touran 2.0 (7 seats)</t>
  </si>
  <si>
    <t>VW Touran 2.0 TD 7 seats</t>
  </si>
  <si>
    <t>M4</t>
  </si>
  <si>
    <t>VW Touran 7 seats 1.9tdi</t>
  </si>
  <si>
    <t>Chrysler Voyager (2.8)</t>
  </si>
  <si>
    <t>Ford Galaxy 2.3</t>
  </si>
  <si>
    <t>Mercedes-Benz</t>
  </si>
  <si>
    <t>Mercedes-Benz Viano (2.0)</t>
  </si>
  <si>
    <t>Mercedes-Benz Vito 114 Bluetec Tourer Pro</t>
  </si>
  <si>
    <t>Mitsubishi Grandis (2.4)</t>
  </si>
  <si>
    <t>Renault Grand Espace (2.0)</t>
  </si>
  <si>
    <t>Toyota Previa 2.4</t>
  </si>
  <si>
    <t>VW 130SE LWB.. 8 seater. Transporter</t>
  </si>
  <si>
    <t>M5</t>
  </si>
  <si>
    <t>Mercedes-Benz Viano (2.2)</t>
  </si>
  <si>
    <t>Renault Grand Espace (3.0)</t>
  </si>
  <si>
    <t>M6</t>
  </si>
  <si>
    <t>Chrysler Grand Voyager 3.3</t>
  </si>
  <si>
    <t>Mercedes-Benz Viano (3.5)</t>
  </si>
  <si>
    <t>F1</t>
  </si>
  <si>
    <t>Ford Kuga. 2Ltr</t>
  </si>
  <si>
    <t>Hyundai Tucson 4WD</t>
  </si>
  <si>
    <t>Hyundai IX 35 2.0 CRDi Premium 5dr 4WD</t>
  </si>
  <si>
    <t>Kia Sportage 2.0</t>
  </si>
  <si>
    <t>Land Rover</t>
  </si>
  <si>
    <t>Land Rover Freelander (1.8)</t>
  </si>
  <si>
    <t>Mitsubishi Outlander (2.4)</t>
  </si>
  <si>
    <t>Mitsubishi Shogun Pinin 1.8</t>
  </si>
  <si>
    <t>Nissan Terrano (2.7)</t>
  </si>
  <si>
    <t>Nissan X-TRAIL TEKNA DCI AUTO 1995cc</t>
  </si>
  <si>
    <t>Skoda Yeti TDI. 2.0ltr</t>
  </si>
  <si>
    <t>Suzuki Grand Hard Top 2.0</t>
  </si>
  <si>
    <t>Suzuki Grand Vitara 1.6</t>
  </si>
  <si>
    <t>Toyota RAV4 (2.0)</t>
  </si>
  <si>
    <t>Vauxhall Mokka CDTi Exclusiv 5dr 1.7 4x4</t>
  </si>
  <si>
    <t>F2</t>
  </si>
  <si>
    <t>Audi</t>
  </si>
  <si>
    <t>Audi Q2 Sport TFSI</t>
  </si>
  <si>
    <t>Citroen C-Crosser VTR Plus HDI 2197</t>
  </si>
  <si>
    <t>Honda CRV CDTI SE 2.2</t>
  </si>
  <si>
    <t>Honda CRV Vtec sport 2.0</t>
  </si>
  <si>
    <t>Hyundai Santa Fe CRTD CDX Estate 2.2</t>
  </si>
  <si>
    <t>Hyundai Santa Fe gsi crtd 2.2</t>
  </si>
  <si>
    <t>Kia Sorrento (2.5)</t>
  </si>
  <si>
    <t>Kia Sorrento 2.2</t>
  </si>
  <si>
    <t>Kia Sorrento 2.4</t>
  </si>
  <si>
    <t>Land Rover Freelander (2.0)</t>
  </si>
  <si>
    <t>Landrover Freelander 2. 2.2ltr</t>
  </si>
  <si>
    <t>GLA200D 2.1</t>
  </si>
  <si>
    <t>Mitsubishi Shogun Sport 2.5</t>
  </si>
  <si>
    <t>Nissan </t>
  </si>
  <si>
    <t>Nissan  x-trail 4x2 2.2</t>
  </si>
  <si>
    <t>Subaru Forester 2.0</t>
  </si>
  <si>
    <t>Toyota Rav 4 (2.2)</t>
  </si>
  <si>
    <t>Toyota Rav4 2.5 Petrol Hybrid</t>
  </si>
  <si>
    <t>VW Tiguan SUV.Sport.2.0 TDI Dpf 140</t>
  </si>
  <si>
    <t>VW Tiguan. Escape. TDI</t>
  </si>
  <si>
    <t>F3</t>
  </si>
  <si>
    <t>BMW</t>
  </si>
  <si>
    <t>BMW X1 S drive SE.(2.0)</t>
  </si>
  <si>
    <t>BMW X1 XDRIVE 2.0D M Sport</t>
  </si>
  <si>
    <t>BMW X3 (2.0)</t>
  </si>
  <si>
    <t>Chevrolet Captiva. 2.0 VCDI. LTZ</t>
  </si>
  <si>
    <t>Honda CRV VTEC Exec 2.0</t>
  </si>
  <si>
    <t>Isuzu</t>
  </si>
  <si>
    <t>Isuzu Trooper TDI.2999ccs</t>
  </si>
  <si>
    <t>Kia Sorento.KX-1, KX-2,KX-3</t>
  </si>
  <si>
    <t>Land Rover Discovery (2.5)</t>
  </si>
  <si>
    <t>Landrover Freelander 2.2 HSE SD4 2200cc</t>
  </si>
  <si>
    <t>Land Rover Discovery Sport Diesel SW - 2.0 TD4 180 BHP - HSE Luxury 5dr Auto – AWD – 7 Seats</t>
  </si>
  <si>
    <t>Mercedes-Benz GLA 220 GLA 220 4Matic AMG Line 2.1</t>
  </si>
  <si>
    <t>Mercedes Benz GLC220D 4Matic AMG Line Premium</t>
  </si>
  <si>
    <t>Mitsubishi L200 4X4 Barbarian</t>
  </si>
  <si>
    <t>Mitsubishi Warrior L200 2.5</t>
  </si>
  <si>
    <t>Nissan Pathfinder sport 2.5</t>
  </si>
  <si>
    <t>Nissan x-trail SVE Auto 2.4</t>
  </si>
  <si>
    <t>Range Rover</t>
  </si>
  <si>
    <t>Range Rover Evoque 2.2</t>
  </si>
  <si>
    <t>F4</t>
  </si>
  <si>
    <t>Audi Q5.2.ltr</t>
  </si>
  <si>
    <t>BMW X3 (2.5)</t>
  </si>
  <si>
    <t>Jaguar</t>
  </si>
  <si>
    <t>Jaguar F Pace 2.0 163PS &amp; 180PS</t>
  </si>
  <si>
    <t>Jeep</t>
  </si>
  <si>
    <t>Jeep Grand Cherokee (3.0)</t>
  </si>
  <si>
    <t>Land Rover Discovery 2.7SE</t>
  </si>
  <si>
    <t>Land Rover Discovery 4. XS</t>
  </si>
  <si>
    <t>Landrover Discovery 2.7TD V6 SE</t>
  </si>
  <si>
    <t>Defender 90 &amp; 110 S</t>
  </si>
  <si>
    <t>2.0 (90) 3.0 (110)</t>
  </si>
  <si>
    <t>Lexus</t>
  </si>
  <si>
    <t>Lexus RX300 (3.0)</t>
  </si>
  <si>
    <t>Mitsubishi Shogun (3.5)</t>
  </si>
  <si>
    <t>Porsche</t>
  </si>
  <si>
    <t>Porsche Macan 2 ltr</t>
  </si>
  <si>
    <t>Range Rover Velar S 2.0 D180</t>
  </si>
  <si>
    <t>Shogun</t>
  </si>
  <si>
    <t>Shogun Warrior DI-D 3200</t>
  </si>
  <si>
    <t>Volvo</t>
  </si>
  <si>
    <t>Volvo D5 (220bhp) R DESIGN Nav AWD 5d Geartronic 2400cc</t>
  </si>
  <si>
    <t>Volvo XC60</t>
  </si>
  <si>
    <t>Volvo XC60 (2 wheel drive) Diesel 1984cc</t>
  </si>
  <si>
    <t>VW Touareg (2.5)</t>
  </si>
  <si>
    <t>VW Touareg 2.5 Tdi SE</t>
  </si>
  <si>
    <t>F5</t>
  </si>
  <si>
    <t>Audi Q5. 3ltr</t>
  </si>
  <si>
    <t>BMW X 6</t>
  </si>
  <si>
    <t>BMW X3 3.0i/3.0d</t>
  </si>
  <si>
    <t>BMW X5 (3.0)</t>
  </si>
  <si>
    <t>BMW X5 X Drive, SE D 2.5</t>
  </si>
  <si>
    <t>Jaguar F Pace 2.0 Petrol 250PS &amp; 300PS</t>
  </si>
  <si>
    <t>Jaguar F Pace 3.0 Diesel 300PS</t>
  </si>
  <si>
    <t>Jeep Grand Cherokee 4.7</t>
  </si>
  <si>
    <t>Jeep Grand Cherokee Hemi SRT8 Auto</t>
  </si>
  <si>
    <t>Land Rover Discovery (4.4)</t>
  </si>
  <si>
    <t>Land Rover Discovery Diesel SDV6 SE Tech 3000cc</t>
  </si>
  <si>
    <t>Land Rover Discovery.XS.TD.V6.3.0 Ltr( also GS,model)</t>
  </si>
  <si>
    <t>Land Rover Discovery 2.0 SD4 HSE</t>
  </si>
  <si>
    <t>Defender 90 &amp; 110 SE</t>
  </si>
  <si>
    <t>Mercedes-Benz GLA AMG 45 4Matic Premium</t>
  </si>
  <si>
    <t>Mercedes-Benz ML250 CDI 2.5 litre</t>
  </si>
  <si>
    <t>Mercedes-Benz ML270 &amp; ML300</t>
  </si>
  <si>
    <t>Porsche Macan S &amp; Macan S Diesel 3ltr</t>
  </si>
  <si>
    <t>Range Rover Velar S 2.0 D240</t>
  </si>
  <si>
    <t>Range Rover Velar S 2.0 P250</t>
  </si>
  <si>
    <t>Toyota Land Cruiser 3.0 LC4</t>
  </si>
  <si>
    <t>Volvo XC70 2.5T/D5</t>
  </si>
  <si>
    <t>VW Touareg 3.0</t>
  </si>
  <si>
    <t>F6</t>
  </si>
  <si>
    <t>Audi Q5. 3.2ltr</t>
  </si>
  <si>
    <t>Audi Q7 S LINE 45 TDI QUATTRO</t>
  </si>
  <si>
    <t>Audi Q7 S LINE 50 TDI QUATTRO</t>
  </si>
  <si>
    <t>Audi Q7 Tdi Quattro 3.0 (7 seats)</t>
  </si>
  <si>
    <t>BMW X5 XDrive40d SE 5dr and 7dr</t>
  </si>
  <si>
    <t>BMW X6 xDrive40D 5DR Step Auto 3.0</t>
  </si>
  <si>
    <t>Infiniti</t>
  </si>
  <si>
    <t>Infiniti EX 30</t>
  </si>
  <si>
    <t>Infiniti EX 37</t>
  </si>
  <si>
    <t>Jaguar F Pace 3.0 Petrol 380PS</t>
  </si>
  <si>
    <t>Land Rover Discovery. TD.V6.HSE</t>
  </si>
  <si>
    <t>Defender 90 &amp; 110 HE</t>
  </si>
  <si>
    <t>Lexus RX400</t>
  </si>
  <si>
    <t>Mercedes-Benz GLE 350cdi SUV 2987cc</t>
  </si>
  <si>
    <t>Mercedes-Benz ML350 (3.5)</t>
  </si>
  <si>
    <t>Mercedes-Benz ML350 3.0 litre CDi BlueTEC Sport 5dr Auto</t>
  </si>
  <si>
    <t>Porsche Cayenne (3.2)</t>
  </si>
  <si>
    <t>Porsche Cayenne V6 Diesel TIP S 2968cc</t>
  </si>
  <si>
    <t>Range Rover Sports S 2.7</t>
  </si>
  <si>
    <t>Range Rover Velar S 2.0 D300</t>
  </si>
  <si>
    <t>Range Rover Velar S 2.0 P300</t>
  </si>
  <si>
    <t>Volvo XC90 2.9SE</t>
  </si>
  <si>
    <t>Volvo XC90 SE D5 2.4</t>
  </si>
  <si>
    <t>Volvo - XC90 D5 P-Pulse</t>
  </si>
  <si>
    <t>Volvo XC90 ESTATE 2.0 T5 [250] MOMENTUM 5DR</t>
  </si>
  <si>
    <t>F7</t>
  </si>
  <si>
    <t>Audi Q7 Fsi Quattro 4.2 (7 seats)</t>
  </si>
  <si>
    <t>BMW X5 V8 (4.4)</t>
  </si>
  <si>
    <t>BMW X7 (2019) x Drive 30d M Sport</t>
  </si>
  <si>
    <t>Infiniti FX 37</t>
  </si>
  <si>
    <t>Mercedes-Benz GL350cdi (also GLS 350 CDI) 2977cc</t>
  </si>
  <si>
    <t>Mercedes-Benz GLE 500 e SUV 2996cc</t>
  </si>
  <si>
    <t>Mercedes-Benz ML500 (5.0)</t>
  </si>
  <si>
    <t>Porsche Cayenne S (4.5)</t>
  </si>
  <si>
    <t>Porsche Macan Turbo Macan 3.6 ltr</t>
  </si>
  <si>
    <t>Range Rover (3.0)</t>
  </si>
  <si>
    <t>Range Rover Sport SDV6 HSE</t>
  </si>
  <si>
    <t>Range Rover Velar S 3.0 P380</t>
  </si>
  <si>
    <t>Tesla</t>
  </si>
  <si>
    <t>Tesla X75D</t>
  </si>
  <si>
    <t>VW Touareg V8 ALTITUDE TDI 4134cc</t>
  </si>
  <si>
    <t>F8</t>
  </si>
  <si>
    <t>Audi SQ7 TDI Quattro 4000cc</t>
  </si>
  <si>
    <t>BMW X5 (4.8is)</t>
  </si>
  <si>
    <t>BMW X5 4.8 Sport 5 door auto</t>
  </si>
  <si>
    <t>BMW X5 M60i x Drive</t>
  </si>
  <si>
    <t>Infiniti.FX 50</t>
  </si>
  <si>
    <t>Porsche Cayenne GTS V8 (4806 cc)</t>
  </si>
  <si>
    <t>Range Rover sport 3.0 Autobiography</t>
  </si>
  <si>
    <t>Range Rover Sport Diesel Estate TDV8 HSE 5 door Auto</t>
  </si>
  <si>
    <t>Range Rover Sport Supercharged (4.2)</t>
  </si>
  <si>
    <t>Range Rover TDV6 3.0 (all derivatives but 4th Gen 2013 only)</t>
  </si>
  <si>
    <t>Range Rover V8 (4.4)</t>
  </si>
  <si>
    <t>Tesla X90 D</t>
  </si>
  <si>
    <t>Tesla X100 D</t>
  </si>
  <si>
    <t>VW Touareg 5.0</t>
  </si>
  <si>
    <t>F9</t>
  </si>
  <si>
    <t>BMW X5 M50 Sport Competition</t>
  </si>
  <si>
    <t>Cadillac</t>
  </si>
  <si>
    <t>Cadillac Escalade 8 Seats V8 Auto 6162cc</t>
  </si>
  <si>
    <t>Mercedes-Benz ML 63</t>
  </si>
  <si>
    <t>Porsche Cayenne Turbo (4.5)</t>
  </si>
  <si>
    <t>Range Rover sport Autobiography 5.0ltr</t>
  </si>
  <si>
    <t>Range Rover Vogue Supercharged (4.2)</t>
  </si>
  <si>
    <t>Tesla P100D</t>
  </si>
  <si>
    <t>P1</t>
  </si>
  <si>
    <t>Alfa Romeo 147 Lusso 1.6</t>
  </si>
  <si>
    <t>Audi A1 Sportback 1.6 TDI Sport 5 door 1600cc</t>
  </si>
  <si>
    <t>Audi A1. 1.6ltr</t>
  </si>
  <si>
    <t>Audi A3 (1.6)</t>
  </si>
  <si>
    <t>Audi A3 1.2 (not Sportback)</t>
  </si>
  <si>
    <t>Audi A3 1.4 (not Sportback)</t>
  </si>
  <si>
    <t>Audi A3 1.6 (not Sportback)</t>
  </si>
  <si>
    <t>Audi A3 Sport. 1197ccs (saloon)</t>
  </si>
  <si>
    <t>Audi A1 S Line Blackedition TFSI SA White</t>
  </si>
  <si>
    <t>BMW 116 (1.6)</t>
  </si>
  <si>
    <t>BMW 116D.Sport.3DR.2.0tr</t>
  </si>
  <si>
    <t>BMW.116i SE 2.0ltr</t>
  </si>
  <si>
    <t>Mercedes-Benz A140 1.4</t>
  </si>
  <si>
    <t>Mercedes-Benz A150 (1.5)</t>
  </si>
  <si>
    <t>P2</t>
  </si>
  <si>
    <t>Alfa Romeo 147 2.0</t>
  </si>
  <si>
    <t>Audi A3 (1.8)</t>
  </si>
  <si>
    <t>Audi A3 1.8 and 1.8T (not Sportback)</t>
  </si>
  <si>
    <t>A3 S Line 30 TDI saloon</t>
  </si>
  <si>
    <t>A3 Sportback S line 30 TFSI 999 cc</t>
  </si>
  <si>
    <t>BMW 118 (1.8)</t>
  </si>
  <si>
    <t>Mercedes-Benz A160</t>
  </si>
  <si>
    <t>Mercedes-Benz A170 (1.7)</t>
  </si>
  <si>
    <t>Mercedes-Benz A180 1.5 litre cdi sport 5 dr</t>
  </si>
  <si>
    <t>Mercedes-Benz B160</t>
  </si>
  <si>
    <t>Volvo C30 SE 1596</t>
  </si>
  <si>
    <t>Volvo S40 1.6SE</t>
  </si>
  <si>
    <t>P3</t>
  </si>
  <si>
    <t>Alfa Romeo 156 2.4l</t>
  </si>
  <si>
    <t>Audi A3 1.9 (not Sportback)</t>
  </si>
  <si>
    <t>Audi A3 1.9SE</t>
  </si>
  <si>
    <t>Audi A3 2.0 (not Sportback)</t>
  </si>
  <si>
    <t>Audi A3 Sports 1.6</t>
  </si>
  <si>
    <t>Audi A3 T Sport 1.8</t>
  </si>
  <si>
    <t>Audi A4 (1.8)</t>
  </si>
  <si>
    <t>A3 Sportback S line 35 TFSI 1498 cc</t>
  </si>
  <si>
    <t>A4 S LINE TFSI S-A 1.4T FSI S LINE 4DR S TRONIC</t>
  </si>
  <si>
    <t>BMW I3 Range Extender 125KW RANGE EXTENDER 33KWH</t>
  </si>
  <si>
    <t>N/A</t>
  </si>
  <si>
    <t>BMW 1. 120D.M.Sport 1995ccs</t>
  </si>
  <si>
    <t>BMW 120 (2.0)</t>
  </si>
  <si>
    <t>BMW 316 (1.8)</t>
  </si>
  <si>
    <t>Citroen C6.2.ltr. Exclusive. Saloon</t>
  </si>
  <si>
    <t>Mercedes-Benz A250 AMG Sport 1991cc</t>
  </si>
  <si>
    <t>Mercedes-Benz B180 (1.8)</t>
  </si>
  <si>
    <t>Mercedes-Benz B180 SE CDI 1500cc</t>
  </si>
  <si>
    <t>Mercedes-Benz C class.C180.Komp. Blue efficiency 1.6</t>
  </si>
  <si>
    <t>Mercedes-Benz C180 (1.8)</t>
  </si>
  <si>
    <t>Mercedes-Benz A 200 D AMG LINE EXECUTIVE, TURBO, 5 Door</t>
  </si>
  <si>
    <t>Saab</t>
  </si>
  <si>
    <t>Saab 9-3 1.8t</t>
  </si>
  <si>
    <t>Saab 9-3 2.0</t>
  </si>
  <si>
    <t>Saab 9-3 2.2t</t>
  </si>
  <si>
    <t>Volvo S40/V50 1.8SE</t>
  </si>
  <si>
    <t>P4</t>
  </si>
  <si>
    <t>Audi A3 CABRIOLET. 2.0 TDI</t>
  </si>
  <si>
    <t>Audi A4 (2.0)</t>
  </si>
  <si>
    <t>Audi A4 cab 1.8t</t>
  </si>
  <si>
    <t>Audi A4 Black Edition 35 TDI Avant 150 PS S tronic</t>
  </si>
  <si>
    <t>Audi A4 S line.TDI. 1410 manual. 1968ccs</t>
  </si>
  <si>
    <t>Audi A4 tdi</t>
  </si>
  <si>
    <t>Audi Avant 2.0 SE</t>
  </si>
  <si>
    <t>BMW 1 Series 125D M Sport</t>
  </si>
  <si>
    <t>BMW 318 (2.0)</t>
  </si>
  <si>
    <t>BMW 318 D. Sport. 4 Dr Saloon</t>
  </si>
  <si>
    <t>BMW 320 (2.0)</t>
  </si>
  <si>
    <t>BMW 320D M Sport Gran Turismo auto</t>
  </si>
  <si>
    <t>Bmw.318 / 320 M.Sport</t>
  </si>
  <si>
    <t>Jaguar X type</t>
  </si>
  <si>
    <t>Jaguar X type 2.2</t>
  </si>
  <si>
    <t>Jaguar XE 2.0 XE Diesel 163ps, 180ps, 200ps</t>
  </si>
  <si>
    <t>Mercedes-Benz B200</t>
  </si>
  <si>
    <t>Mercedes-Benz C200 (2.0)</t>
  </si>
  <si>
    <t>Mercedes-Benz C200 D SE</t>
  </si>
  <si>
    <t>Saab 9-3 2.0T</t>
  </si>
  <si>
    <t>Saab 9-3 Convertible 1.8t</t>
  </si>
  <si>
    <t>Saab 9-3 Convertible 2.0</t>
  </si>
  <si>
    <t>Saab 9-3 vector 150BHP 2.0</t>
  </si>
  <si>
    <t>Saab 9-5 saloon (2.0)</t>
  </si>
  <si>
    <t>Saab Vector 2.0T</t>
  </si>
  <si>
    <t>Volvo S40 (2.5)</t>
  </si>
  <si>
    <t>P5</t>
  </si>
  <si>
    <t>Alfa Romeo 159 Auto 2.4</t>
  </si>
  <si>
    <t>Audi A4 (2.5)</t>
  </si>
  <si>
    <t>Audi A4 diesel Avant 2.5</t>
  </si>
  <si>
    <t>Audi A6 (2.0)</t>
  </si>
  <si>
    <t>Audi A6 2 litre SE TDI</t>
  </si>
  <si>
    <t>BMW 130 (3.0)</t>
  </si>
  <si>
    <t>BMW 325 (2.5)</t>
  </si>
  <si>
    <t>BMW 520 (2.0)</t>
  </si>
  <si>
    <t>Chrysler 300</t>
  </si>
  <si>
    <t>Honda Legend 3474cc</t>
  </si>
  <si>
    <t>Jaguar S type</t>
  </si>
  <si>
    <t>Jaguar XF D PREMIUM LUXURY 2179 cc</t>
  </si>
  <si>
    <t>Jaguar X-type 2.5 petrol</t>
  </si>
  <si>
    <t>Jaguar X-type. 2.5ltr V6. Sport</t>
  </si>
  <si>
    <t>Lexus IS 220/IS 250</t>
  </si>
  <si>
    <t>Mercedes-Benz C Class. C.250. CGI Saloon</t>
  </si>
  <si>
    <t>Mercedes-Benz C220 CDI/ sport edition</t>
  </si>
  <si>
    <t>Mercedes-Benz C230 (2.3)</t>
  </si>
  <si>
    <t>Mercedes-Benz C270</t>
  </si>
  <si>
    <t>Mercedes-Benz C280 (3.0)</t>
  </si>
  <si>
    <t>Mercedes-Benz E200 (2.0)</t>
  </si>
  <si>
    <t>Saab Vector Aero 2.0T</t>
  </si>
  <si>
    <t>Volvo S60/V50/V60. 2.0</t>
  </si>
  <si>
    <t>Volvo S60/V50/V60. 2.4</t>
  </si>
  <si>
    <t>Volvo S60/V50/V60. 2.5</t>
  </si>
  <si>
    <t>Volvo V70 (2.0t)</t>
  </si>
  <si>
    <t>Volvo V90 MOMENTUM D4 AUTO Turbo Estate</t>
  </si>
  <si>
    <t>P6</t>
  </si>
  <si>
    <t>Alfa Romeo 159 3.2 v6</t>
  </si>
  <si>
    <t>Audi A4 45 TFSI 265 BHP</t>
  </si>
  <si>
    <t>1984cc</t>
  </si>
  <si>
    <t>Audi A4 (3.2)</t>
  </si>
  <si>
    <t>Audi A6 (2.5)</t>
  </si>
  <si>
    <t>Audi All Road (2.5)</t>
  </si>
  <si>
    <t>Audi Quattro A4 TDI 3.0</t>
  </si>
  <si>
    <t>BMW 328 (F30 Sixth Generation) 2 litre twin turbo saloon</t>
  </si>
  <si>
    <t>BMW 330 (3.0)</t>
  </si>
  <si>
    <t>BMW 525 (2.5)</t>
  </si>
  <si>
    <t>BMW 330E SE/M Sport Hybrid Saloon</t>
  </si>
  <si>
    <t>Q50 Sport</t>
  </si>
  <si>
    <t>Jaguar S type 2.7td</t>
  </si>
  <si>
    <t>Jaguar S Type. SE Plus. V6</t>
  </si>
  <si>
    <t>Jaguar XE 2.0 XE Diesel 240ps</t>
  </si>
  <si>
    <t>Jaguar XF Saloon Prestige 2.0</t>
  </si>
  <si>
    <t>Jaguar XF R- Sport Auto</t>
  </si>
  <si>
    <t>Mercedes-Benz C320 (3.2)</t>
  </si>
  <si>
    <t>Mercedes-Benz E220/E240/C350</t>
  </si>
  <si>
    <t>Mercedes-Benz E250.Sal.Blue Eff</t>
  </si>
  <si>
    <t>Mercedes-Benz E280 (2.8)</t>
  </si>
  <si>
    <t>Mercedes-Benz E280 CDI 3.0</t>
  </si>
  <si>
    <t>Saab Vector Aero 2.8 V6</t>
  </si>
  <si>
    <t>Volvo S80 SE LUX 140 2.4 Executive</t>
  </si>
  <si>
    <t>Volvo V70 2.4</t>
  </si>
  <si>
    <t>P7</t>
  </si>
  <si>
    <t>Audi A6 (3.2 - 3.5)</t>
  </si>
  <si>
    <t>Audi A6 S-Line Quattro Tdi, 3.0</t>
  </si>
  <si>
    <t>Audi A6 TDI 3000cc</t>
  </si>
  <si>
    <t>BMW 335d M Sport 4 door saloon 3 litre</t>
  </si>
  <si>
    <t>BMW 530 (3.0 )</t>
  </si>
  <si>
    <t>BMW 530 D M-Sport (3.0) 4 door</t>
  </si>
  <si>
    <t>BMW 535 (3.5)</t>
  </si>
  <si>
    <t>BMW 530E M Sport Auto</t>
  </si>
  <si>
    <t>Cadillac CTS 3.6</t>
  </si>
  <si>
    <t>Infiniti G37,Saloon</t>
  </si>
  <si>
    <t>Infiniti M30/37</t>
  </si>
  <si>
    <t>Jaguar XF 3.0 V6 (all models)</t>
  </si>
  <si>
    <t>Lexus GS300 SE 3.0</t>
  </si>
  <si>
    <t>Maserati</t>
  </si>
  <si>
    <t>Maserati Ghibli Diesel</t>
  </si>
  <si>
    <t>2987cc</t>
  </si>
  <si>
    <t>Mercedes-Benz CLS250 CDI Blue Efficiency 2143cc</t>
  </si>
  <si>
    <t>Mercedes-Benz E 350. (Blue Eff) Sal</t>
  </si>
  <si>
    <t>Mercedes-Benz E320</t>
  </si>
  <si>
    <t>Mercedes-Benz E350 (3.5)</t>
  </si>
  <si>
    <t>Tesla Model S 60</t>
  </si>
  <si>
    <t>P8</t>
  </si>
  <si>
    <t>Audi A6 (4.2)</t>
  </si>
  <si>
    <t>AUDI A7 3.0T FSI Petrol Quattro SE 5dr S Tronic Sportback</t>
  </si>
  <si>
    <t>Audi A7 S LINE TDi Quattro 3.0L</t>
  </si>
  <si>
    <t>Audi A8 (3.0)</t>
  </si>
  <si>
    <t>BMW 540 (4.0)</t>
  </si>
  <si>
    <t>BMW 550 (5.0)</t>
  </si>
  <si>
    <t>BMW 730 (3.0)</t>
  </si>
  <si>
    <t>Jaguar S type (4.2)</t>
  </si>
  <si>
    <t>Jaguar XJ6 2.7</t>
  </si>
  <si>
    <t>Jaguar XJ6 3.0</t>
  </si>
  <si>
    <t>Lexus GS 450H 3456cc</t>
  </si>
  <si>
    <t>Mercedes-Benz CLS320/R320/E500 (5.0)</t>
  </si>
  <si>
    <t>Mercedes-Benz CLS350</t>
  </si>
  <si>
    <t>Mercedes-Benz S280 (2.8)</t>
  </si>
  <si>
    <t>Tesla Model S 85</t>
  </si>
  <si>
    <t>VW Phaeton V6. 2011</t>
  </si>
  <si>
    <t>P9</t>
  </si>
  <si>
    <t>Audi A8 (3.7 - 4.2)</t>
  </si>
  <si>
    <t>Audi RS saloon 4.2</t>
  </si>
  <si>
    <t>Audi RS6 Avant</t>
  </si>
  <si>
    <t>BMW 735/ 740 (3.5 - 4.0)</t>
  </si>
  <si>
    <t>Jaguar XF 5.0 V8</t>
  </si>
  <si>
    <t>Jaguar XJ 5.0 V6 (all models)</t>
  </si>
  <si>
    <t>Lexus IS F Auto 4969cc</t>
  </si>
  <si>
    <t>Lexus LS400</t>
  </si>
  <si>
    <t>Lexus LS430 4.3</t>
  </si>
  <si>
    <t>Mercedes-Benz E55 AMG</t>
  </si>
  <si>
    <t>Mercedes-Benz R500</t>
  </si>
  <si>
    <t>Mercedes-Benz S Class S320 CDi 4dr Auto</t>
  </si>
  <si>
    <t>Mercedes-Benz S350</t>
  </si>
  <si>
    <t>Porsche Panamera 3.0 litre Diesel</t>
  </si>
  <si>
    <t>Tesla Model S P85</t>
  </si>
  <si>
    <t>TESLA Model S 90D</t>
  </si>
  <si>
    <t>P10</t>
  </si>
  <si>
    <t>Audi A8 (6.0)</t>
  </si>
  <si>
    <t>Audi RS7 TFSI V8 BI-Turbo Quattro 4 ltr</t>
  </si>
  <si>
    <t>RS6 TFSI V8 QUATTRO AUTO Estate 5dr</t>
  </si>
  <si>
    <t>BMW 750 (5.0)</t>
  </si>
  <si>
    <t>Jaguar XJ 5.0 V8</t>
  </si>
  <si>
    <t>Maserati Quattroporte 4.2</t>
  </si>
  <si>
    <t>Mercedes-Benz E class 63.AMG 4dr sal</t>
  </si>
  <si>
    <t>Mercedes-Benz S500 (5.0)</t>
  </si>
  <si>
    <t>Porsche Panamera GTS V8 4800cc</t>
  </si>
  <si>
    <t>Porsche Panamera V8 S. 5dr</t>
  </si>
  <si>
    <t>P11</t>
  </si>
  <si>
    <t>Bentley</t>
  </si>
  <si>
    <t>Bentley Continental (6.0)</t>
  </si>
  <si>
    <t>Bentley Bentayga Mulliner 4.00d V8</t>
  </si>
  <si>
    <t>BMW 760</t>
  </si>
  <si>
    <t>Jaguar New XJ 5.0 V8 supercharged</t>
  </si>
  <si>
    <t>Mercedes-Benz S600 (6.0)</t>
  </si>
  <si>
    <t>Mercedes-Benz S63AMG LWB 5461cc</t>
  </si>
  <si>
    <t>Porsche Panamera Turbo 4.8</t>
  </si>
  <si>
    <t>P12</t>
  </si>
  <si>
    <t>Aston Martin</t>
  </si>
  <si>
    <t>Aston Martin Rapide 6000cc</t>
  </si>
  <si>
    <t>Bentley Arnage (6.0)</t>
  </si>
  <si>
    <t>P13</t>
  </si>
  <si>
    <t>Rolls Royce</t>
  </si>
  <si>
    <t>Phantom(saloon,,open or coupe)</t>
  </si>
  <si>
    <t>SP1</t>
  </si>
  <si>
    <t>MG ZR 1.4</t>
  </si>
  <si>
    <t>MINI Cooper (1.6)</t>
  </si>
  <si>
    <t>Mini Cooper Clubman 1600 (Add £ 5.00 per day estate charge)</t>
  </si>
  <si>
    <t>Mini Cooper Countryman 1600 (Add £ 5.00 per day estate charge)</t>
  </si>
  <si>
    <t>Rover MGF 1.8</t>
  </si>
  <si>
    <t>SP2</t>
  </si>
  <si>
    <t>Alfa Romeo Giuletta Veloce. TB.1368ccs.2 Door hatchback</t>
  </si>
  <si>
    <t>Audi A3. S.Line TDI. 1.6Ltr. Convertible</t>
  </si>
  <si>
    <t>Ford Fiesta ST 1.6T EcoBoost</t>
  </si>
  <si>
    <t>Ford Fiesta ST 2.0ltr</t>
  </si>
  <si>
    <t>Ford Focus ST 2.0</t>
  </si>
  <si>
    <t>Ford Focus ST 2521cc</t>
  </si>
  <si>
    <t>Honda Civic S. 1.8. I-VTEC</t>
  </si>
  <si>
    <t>Hyundai 1.6 Coupe</t>
  </si>
  <si>
    <t>Mazda MX5 1.8</t>
  </si>
  <si>
    <t>Mazda MX5 2.0</t>
  </si>
  <si>
    <t>MINI</t>
  </si>
  <si>
    <t>MINI Cooper Cabriolet (1.6)</t>
  </si>
  <si>
    <t>MINI Cooper S (1.6)</t>
  </si>
  <si>
    <t>Nissan Juke Nismo RS 1600</t>
  </si>
  <si>
    <t>Renault Clio RS182 (2.0)</t>
  </si>
  <si>
    <t>Renault Clio Sport Cup 1998cc</t>
  </si>
  <si>
    <t>Ibiza Cupra TSi S-A</t>
  </si>
  <si>
    <t>Vauxhall Corsa.VXR 1.6 Turbo</t>
  </si>
  <si>
    <t>VW Polo GTI 1.8 TSI 6 speed manual Petrol</t>
  </si>
  <si>
    <t>SP3</t>
  </si>
  <si>
    <t>Audi A3 Sportsback 1.6</t>
  </si>
  <si>
    <t>BMW 118 coupe</t>
  </si>
  <si>
    <t>Citroen DS3 cabriolet THP Racing 2d</t>
  </si>
  <si>
    <t>Hyundai coupe 2LSE</t>
  </si>
  <si>
    <t>Mazda RX8 (192ps)</t>
  </si>
  <si>
    <t>Mini Cooper S. 1.6ltr. cabriolet</t>
  </si>
  <si>
    <t>Peugeot RCZ GT THP 156 1598cc</t>
  </si>
  <si>
    <t>Renault Megane Sports.(2ltr)</t>
  </si>
  <si>
    <t>Toyota Celica (1.8)</t>
  </si>
  <si>
    <t>Toyota MR2 (1.8)</t>
  </si>
  <si>
    <t>Vauxhall Astra.VXR,2.0T</t>
  </si>
  <si>
    <t>VW Scirocco TSi 1.4</t>
  </si>
  <si>
    <t>SP4</t>
  </si>
  <si>
    <t>Audi A3 Diesel Sportback 2.0 TDi Sport 5dr</t>
  </si>
  <si>
    <t>Audi A3 Sportsback 2.0</t>
  </si>
  <si>
    <t>Audi TT Coupe 1.8T (180)</t>
  </si>
  <si>
    <t>BMW 120 coupe</t>
  </si>
  <si>
    <t>BMW 220i SE 2dr 2.0</t>
  </si>
  <si>
    <t>Ford Focus 2.0T (250ps) ST</t>
  </si>
  <si>
    <t>Ford Focus. RS. 2.5ltr</t>
  </si>
  <si>
    <t>Ford Focus.RS. 2.5ltr</t>
  </si>
  <si>
    <t>Honda Civic S. GT. 2.2</t>
  </si>
  <si>
    <t>Honda Civic type R 2.0</t>
  </si>
  <si>
    <t>Mercedes-Benz CLC. 180 Sport</t>
  </si>
  <si>
    <t>Mini John Cooper works</t>
  </si>
  <si>
    <t>Seat Cupra 2.0.TSI./ R2010 2.0ltr TSI</t>
  </si>
  <si>
    <t>Toyota GT86 2 dr coupe manual 2000cc 200hp</t>
  </si>
  <si>
    <t>VW Golf GTI (2.0)</t>
  </si>
  <si>
    <t>VW Scirocco GT TDI</t>
  </si>
  <si>
    <t>SP5</t>
  </si>
  <si>
    <t>Audi A3 1.8ltr TFSI black edition convertible</t>
  </si>
  <si>
    <t>Audi A3. S Line.EDN.TFSI.S-A 3DR.Convertible</t>
  </si>
  <si>
    <t>Audi TT Coupe 1.8T Quattro (225)</t>
  </si>
  <si>
    <t>Audi TT Roadster 1.8T (180)</t>
  </si>
  <si>
    <t>Audi TTC-2 2.0T FSI</t>
  </si>
  <si>
    <t>BMW 123 coupe</t>
  </si>
  <si>
    <t>BMW 124D coupe M sport</t>
  </si>
  <si>
    <t>BMW 318 Ci Coupe 2.0</t>
  </si>
  <si>
    <t>BMW 318 Convertible 1.8ltr</t>
  </si>
  <si>
    <t>BMW M135I AUTO 2979cc</t>
  </si>
  <si>
    <t>BMW Z4 (2.0)</t>
  </si>
  <si>
    <t>M240i Coupe</t>
  </si>
  <si>
    <t>Chrysler Sebring limited. Convertible</t>
  </si>
  <si>
    <t>Lotus</t>
  </si>
  <si>
    <t>Lotus Elise (1.8)</t>
  </si>
  <si>
    <t>Mercedes-Benz C180 Sports Coupe SE Auto Kompressor</t>
  </si>
  <si>
    <t>Mercedes-Benz CLC 220 sport</t>
  </si>
  <si>
    <t>Mercedes-Benz E250CDI Sport Coupe 2183cc(Old model)</t>
  </si>
  <si>
    <t>VW Golf R 2.0 DSG 1984cc</t>
  </si>
  <si>
    <t>VW Golf V6 R32 4 Motion (3189cc)</t>
  </si>
  <si>
    <t>SP6</t>
  </si>
  <si>
    <t>Alfa Romeo Brera.2.4 JTDM</t>
  </si>
  <si>
    <t>Audi A4 T-Sport Cabriolet 1.8L</t>
  </si>
  <si>
    <t>Audi A5 Sport 180 TFSI Coupe</t>
  </si>
  <si>
    <t>Audi S3</t>
  </si>
  <si>
    <t>Audi S3 Quattro 1.8T</t>
  </si>
  <si>
    <t>Audi TT Coupe 3.2T Quattro (3.2)</t>
  </si>
  <si>
    <t>Audi TT Roadster 1.8T Quattro (225)</t>
  </si>
  <si>
    <t>BMW 320Ci Coupe 2.0</t>
  </si>
  <si>
    <t>BMW 320Ci Coupe 2.2</t>
  </si>
  <si>
    <t>BMW 320Ci Coupe 2.5</t>
  </si>
  <si>
    <t>BMW 318 Convertible</t>
  </si>
  <si>
    <t>BMW Z4 (2.5)</t>
  </si>
  <si>
    <t>BMW Z4 Roadster 28i S Drive M 2.0</t>
  </si>
  <si>
    <t>420D Gran Coupe M Sport</t>
  </si>
  <si>
    <t>Chrysler Crossfire 3.2</t>
  </si>
  <si>
    <t>Honda S2000 (2.0)</t>
  </si>
  <si>
    <t>Mercedes-Benz A45 AMG 1991cc</t>
  </si>
  <si>
    <t>Mercedes-Benz C220 CDI AMG Sport Coupe 2dr auto (2100cc)</t>
  </si>
  <si>
    <t>Mercedes-Benz CLK200 Coupe (2.0)</t>
  </si>
  <si>
    <t>Mercedes-Benz E200 coupe 1796 cc</t>
  </si>
  <si>
    <t>Mercedes-Benz E250 Sports Coupe. Blue Eff</t>
  </si>
  <si>
    <t>Mercedes-Benz SLK200 (1.8)</t>
  </si>
  <si>
    <t>Mitsubishi Evo III (2.0)</t>
  </si>
  <si>
    <t>Subaru Impreza.WRX 2.5ltr</t>
  </si>
  <si>
    <t>Volvo C70 2.0t</t>
  </si>
  <si>
    <t>SP7</t>
  </si>
  <si>
    <t>Alfa Romeo Brera 3.2 V6</t>
  </si>
  <si>
    <t>Alfa Romeo GT 3.2 V6</t>
  </si>
  <si>
    <t>Audi A4 Cabriolet 2393</t>
  </si>
  <si>
    <t>Audi A4 TDI Convertible 2496cc</t>
  </si>
  <si>
    <t>Audi A5 Cabriolet 1.8 FSI Auto</t>
  </si>
  <si>
    <t>Audi A5 Cabriolet 2.0TDI Auto</t>
  </si>
  <si>
    <t>Audi A5 Coupe 2.0 TDI Auto</t>
  </si>
  <si>
    <t>Audi A5 S line</t>
  </si>
  <si>
    <t>Audi A5 TDI Quattro 2967</t>
  </si>
  <si>
    <t>Audi TT Roadster 3.2T Quattro (3.2)</t>
  </si>
  <si>
    <t>BMW 320 Convertible</t>
  </si>
  <si>
    <t>BMW 325 coupe</t>
  </si>
  <si>
    <t>BMW 330 Ci Sport Coupe 3.3</t>
  </si>
  <si>
    <t>BMW 428i Sport Coupe 1997cc</t>
  </si>
  <si>
    <t>BMW Z4 (3.0)</t>
  </si>
  <si>
    <t>Infiniti G37</t>
  </si>
  <si>
    <t>Mercedes-Benz CLK270</t>
  </si>
  <si>
    <t>Mercedes-Benz CLK200 Cabriolet (2.0)</t>
  </si>
  <si>
    <t>Mercedes-Benz CLK240 2597cc</t>
  </si>
  <si>
    <t>Mercedes-Benz CLK280 Coupe (2.8)</t>
  </si>
  <si>
    <t>Mercedes-Benz E220 Cabriolet</t>
  </si>
  <si>
    <t>Mercedes-Benz Slk. 300.Sports Pac</t>
  </si>
  <si>
    <t>Nissan 370z V6 GT Coupe 3.7L</t>
  </si>
  <si>
    <t>Nissan Sports 350z 3.5</t>
  </si>
  <si>
    <t>Porsche Boxster (2.7)</t>
  </si>
  <si>
    <t>SP8</t>
  </si>
  <si>
    <t>Audi A5 Cabriolet 3.0 TDI Auto</t>
  </si>
  <si>
    <t>Audi S4. Sal.TFSI Quattro. 3.0ltr</t>
  </si>
  <si>
    <t>Audi S5.Sportback.3ltr</t>
  </si>
  <si>
    <t>BMW 325 Cabriolet</t>
  </si>
  <si>
    <t>BMW 330d.2993ccs.Convertible</t>
  </si>
  <si>
    <t>BMW 335. Coupe &amp; M.Sport</t>
  </si>
  <si>
    <t>BMW 530D Gran Turismo Sport Coupe</t>
  </si>
  <si>
    <t>BMW M2 3.0 litre</t>
  </si>
  <si>
    <t>Mustang GT</t>
  </si>
  <si>
    <t>Infiniti G37 Coupe</t>
  </si>
  <si>
    <t>Mercedes-Benz CLK280 Cabriolet (2.8)</t>
  </si>
  <si>
    <t>Mercedes-Benz CLK350 Coupe (3.5)</t>
  </si>
  <si>
    <t>Mercedes-Benz E250 Cabriolet</t>
  </si>
  <si>
    <t>Mercedes-Benz SLK350 (3.5)</t>
  </si>
  <si>
    <t>Porsche Cayman.2687ccs</t>
  </si>
  <si>
    <t>SP9</t>
  </si>
  <si>
    <t>Audi S4 Cabriolet Quattro 4163 cc</t>
  </si>
  <si>
    <t>BMW 630 (3.0)</t>
  </si>
  <si>
    <t>840D X Drive</t>
  </si>
  <si>
    <t>BMW 640 Coupe D M Sport</t>
  </si>
  <si>
    <t>BMW M3 E46 (3.2)</t>
  </si>
  <si>
    <t>BMW Z4M (3.2)</t>
  </si>
  <si>
    <t>Infiniti G37. Sport</t>
  </si>
  <si>
    <t>Jaguar F-Type Coupe 3.0 V6 340PS &amp; 380PS</t>
  </si>
  <si>
    <t>Mercedes-Benz E 350 Cabriolet/Coupe</t>
  </si>
  <si>
    <t>Mercedes-Benz CLK350 Cabriolet (3.5)</t>
  </si>
  <si>
    <t>Mercedes-Benz CLK500 Cabriolet (5.0)</t>
  </si>
  <si>
    <t>Mercedes-Benz CLK500 Coupe (5.0)</t>
  </si>
  <si>
    <t>Mercedes-Benz SLK 55 AMG Jaguar XK8 Coupe</t>
  </si>
  <si>
    <t>Porsche Boxster S (3.2)</t>
  </si>
  <si>
    <t>Porsche Cayman S</t>
  </si>
  <si>
    <t>TVR</t>
  </si>
  <si>
    <t>TVR Tuscan Targa (4.0)</t>
  </si>
  <si>
    <t>SP10</t>
  </si>
  <si>
    <t>Alfa Romeo Guilia Quadrifoglio 2891cc</t>
  </si>
  <si>
    <t>Audi RS5.Coupe’.2Dr.Sport</t>
  </si>
  <si>
    <t>Audi S6 Quattro (4.2)</t>
  </si>
  <si>
    <t>BMW 650 (5.0)</t>
  </si>
  <si>
    <t>BMW M3 F80</t>
  </si>
  <si>
    <t>BMW M3.SAL/Coupe/Conv. (4.0ltr)</t>
  </si>
  <si>
    <t>BMW M4 convertible</t>
  </si>
  <si>
    <t>BMW M4 S-A 2dr coupe 3.0</t>
  </si>
  <si>
    <t>BMW M5 (5.0)</t>
  </si>
  <si>
    <t>M3 4 door saloon 3.0</t>
  </si>
  <si>
    <t>Jaguar F-Type Convertible 3.0 V6 340PS &amp; 380PS</t>
  </si>
  <si>
    <t>Jaguar XKR (4.2)</t>
  </si>
  <si>
    <t>Lexus SC430 (4.3)</t>
  </si>
  <si>
    <t>Maserati Coupe (4.2)</t>
  </si>
  <si>
    <t>Maserati Spyder (4.2)</t>
  </si>
  <si>
    <t>Mercedes-Benz C63 AMG Coupe V8 6300cc</t>
  </si>
  <si>
    <t>Mercedes-Benz SL350 (3.5)</t>
  </si>
  <si>
    <t>Mercedes-Benz C63 AMG Auto</t>
  </si>
  <si>
    <t>Mercedes C63 AMG Saloon 4.0</t>
  </si>
  <si>
    <t>Nissan GTR coupe. &amp; Special Edition. 3.8ltr</t>
  </si>
  <si>
    <t>Porsche 911 Carrera (3.6)</t>
  </si>
  <si>
    <t>SP11</t>
  </si>
  <si>
    <t>Aston Martin V8. Vantage</t>
  </si>
  <si>
    <t>Aston Martin Vantage (6.0)</t>
  </si>
  <si>
    <t>BMW M6 (5.0)</t>
  </si>
  <si>
    <t>Jaguar F-Type Coupe &amp; Convertible 495PS &amp; 550PS</t>
  </si>
  <si>
    <t>Jaguar F-Type R Supercharged V8 Convertible 5.0 litre</t>
  </si>
  <si>
    <t>Jaguar XK 5.0 V8</t>
  </si>
  <si>
    <t>Mercedes-Benz CL500 5.0</t>
  </si>
  <si>
    <t>Mercedes-Benz CLS 55 AMG</t>
  </si>
  <si>
    <t>Mercedes-Benz SL500 (5.0)</t>
  </si>
  <si>
    <t>Porsche 992 (911) Carerra 4 GTS Cabriolet</t>
  </si>
  <si>
    <t>Porsche 911 Cab</t>
  </si>
  <si>
    <t>Porsche 911 Carrera S (3.8)</t>
  </si>
  <si>
    <t>Porsche 911S Cab</t>
  </si>
  <si>
    <t>Porsche 997 GTS 3800cc</t>
  </si>
  <si>
    <t>Porsche Targa 4.(3.6)</t>
  </si>
  <si>
    <t>SP12</t>
  </si>
  <si>
    <t>Aston Martin DB7 coupe</t>
  </si>
  <si>
    <t>Aston Martin DB9 (6.0)</t>
  </si>
  <si>
    <t>Aston Martin.V8 Vantage.N400</t>
  </si>
  <si>
    <t>Audi R8 .Coupe &amp; Spyder</t>
  </si>
  <si>
    <t>Audi R8 V10 &amp; V10 Plus Coupe &amp; Cabriolet 5.2 ltr</t>
  </si>
  <si>
    <t>Bentley Continental GT S Mulliner 4.0</t>
  </si>
  <si>
    <t>BMW I8 – Hybrid sports car 1500cc</t>
  </si>
  <si>
    <t>BMW i8 Pure Impulse Design Pack 2d Auto</t>
  </si>
  <si>
    <t>Jaguar XK 5.0 V8 supercharged (coupe and convertibles)</t>
  </si>
  <si>
    <t>Maserati Grand Turismo, / Also Convertible version</t>
  </si>
  <si>
    <t>SP13</t>
  </si>
  <si>
    <t>DB9 Volante</t>
  </si>
  <si>
    <t>DBS Coupe V12 6L</t>
  </si>
  <si>
    <t>Vanquish</t>
  </si>
  <si>
    <t>Azure Convertible</t>
  </si>
  <si>
    <t>Continental GT</t>
  </si>
  <si>
    <t>GTC Cab</t>
  </si>
  <si>
    <t>Ferrari</t>
  </si>
  <si>
    <t>California</t>
  </si>
  <si>
    <t>F430/360</t>
  </si>
  <si>
    <t>4.3/3.6</t>
  </si>
  <si>
    <t>Lamborghini</t>
  </si>
  <si>
    <t>Gallardo</t>
  </si>
  <si>
    <t>Aventador LP 750-4 Superveloce</t>
  </si>
  <si>
    <t>SLS 63 AMG</t>
  </si>
  <si>
    <t>Date Registered</t>
  </si>
  <si>
    <t>Age</t>
  </si>
  <si>
    <t>Type</t>
  </si>
  <si>
    <t>Pre 31/03/11</t>
  </si>
  <si>
    <t>Age of hire car is less than 3 yrs</t>
  </si>
  <si>
    <t>Saloon / Hatchback up to 1.7 (excluding insurance)</t>
  </si>
  <si>
    <t>&lt;1.7</t>
  </si>
  <si>
    <t>Saloon / Hatchback up to 1.7 (including insurance)</t>
  </si>
  <si>
    <t>Saloon / Hatchback from 1.7 (excluding insurance)</t>
  </si>
  <si>
    <t>&gt;1.7</t>
  </si>
  <si>
    <t>Saloon / Hatchback from 1.7 (including insurance)</t>
  </si>
  <si>
    <t>Age of hire car is 3 yrs or more</t>
  </si>
  <si>
    <t>After 31/03/11</t>
  </si>
  <si>
    <t>Age of hire car is less than 3 years</t>
  </si>
  <si>
    <t>4/5 door saloon irrespective of engine size (excluding insurance)</t>
  </si>
  <si>
    <t>4/5 door saloon irrespective of engine size (including insurance)</t>
  </si>
  <si>
    <t>All</t>
  </si>
  <si>
    <t>Age of hire car is less than 4 yrs</t>
  </si>
  <si>
    <t>City of London Public Hire/Hackney (excl insurance)</t>
  </si>
  <si>
    <t>City of London Public Hire/Hackney (inc insurance)</t>
  </si>
  <si>
    <t>Public Hire/Hackney (excluding insurance)</t>
  </si>
  <si>
    <t>Public Hire/Hackney (including insurance)</t>
  </si>
  <si>
    <t>Age of hire car is 4 yrs or more</t>
  </si>
  <si>
    <t>Vehicles classified in car prestige groups up to and including P6 . VW Tiguan 2.0TDI 140 Bluemotion Mercedes Viano (2.2 Extra Long) 7 seater 2.2. Mercedes Benz - V250 D AMG Line</t>
  </si>
  <si>
    <t>People carrier 6/7 seats Galaxy, Sharan, Alhambra,Vauxhall Zafira Life DTI, LEVC - LTI TX5 – Petrol hybrid</t>
  </si>
  <si>
    <t>Minibus 8/9 seats Tourneo, Transporter, Vito etc. Mercedes Vito Taxi(6 seater) 2148ccs.</t>
  </si>
  <si>
    <t>Vehicles classified in car prestige groups from P7 upwards</t>
  </si>
  <si>
    <t>Age of hire bike is less than 3 yrs</t>
  </si>
  <si>
    <t>Taxi Bike</t>
  </si>
  <si>
    <t>Age of hire bike is 3 yrs or more</t>
  </si>
  <si>
    <t xml:space="preserve">Percentage </t>
  </si>
  <si>
    <t>ABI Hire Charge Per day</t>
  </si>
  <si>
    <t xml:space="preserve">BHR Hire Charge Per Day </t>
  </si>
  <si>
    <t xml:space="preserve">Actual Vehicle Category </t>
  </si>
  <si>
    <t>T1&lt;3Y</t>
  </si>
  <si>
    <t>T1&gt;=3Y</t>
  </si>
  <si>
    <t>T2&lt;3Y</t>
  </si>
  <si>
    <t>T3&lt;3Y</t>
  </si>
  <si>
    <t>T4&lt;3Y</t>
  </si>
  <si>
    <t>T2&gt;=3Y</t>
  </si>
  <si>
    <t>T3&gt;=3Y</t>
  </si>
  <si>
    <t>T4&gt;=3Y</t>
  </si>
  <si>
    <t>NT3&lt;3Y</t>
  </si>
  <si>
    <t>NT4&lt;3Y</t>
  </si>
  <si>
    <t>NT3&gt;=3Y</t>
  </si>
  <si>
    <t>NT4&gt;=3Y</t>
  </si>
  <si>
    <t>T5&lt;4Y</t>
  </si>
  <si>
    <t>T6&lt;4Y</t>
  </si>
  <si>
    <t>T7&lt;4Y</t>
  </si>
  <si>
    <t>T8&lt;4Y</t>
  </si>
  <si>
    <t>T5&gt;=4Y</t>
  </si>
  <si>
    <t>T6&gt;=4Y</t>
  </si>
  <si>
    <t>T7&gt;=4Y</t>
  </si>
  <si>
    <t>T8&gt;=4Y</t>
  </si>
  <si>
    <t>PT9&lt;3Y</t>
  </si>
  <si>
    <t>T10&lt;3Y</t>
  </si>
  <si>
    <t>T12&lt;3Y</t>
  </si>
  <si>
    <t>PT13&lt;3Y</t>
  </si>
  <si>
    <t>T14&lt;3Y</t>
  </si>
  <si>
    <t>PT9&gt;=3Y</t>
  </si>
  <si>
    <t>T10&gt;=3Y</t>
  </si>
  <si>
    <t>T12&gt;=3Y</t>
  </si>
  <si>
    <t>PT13&gt;=3Y</t>
  </si>
  <si>
    <t>T14&gt;=3Y</t>
  </si>
  <si>
    <t>50/50 (Replace with ABI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</si>
</sst>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b/>
      <sz val="9.6"/>
      <color rgb="FF3C4445"/>
      <name val="Arial"/>
      <family val="2"/>
    </font>
    <font>
      <sz val="9.6"/>
      <color rgb="FF3C444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8" fontId="2" fillId="3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8" fontId="2" fillId="2" borderId="1" xfId="0" applyNumberFormat="1" applyFont="1" applyFill="1" applyBorder="1" applyAlignment="1">
      <alignment horizontal="left" vertical="top" wrapText="1"/>
    </xf>
    <xf numFmtId="8" fontId="0" fillId="4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8" fontId="0" fillId="4" borderId="1" xfId="0" applyNumberFormat="1" applyFill="1" applyBorder="1" applyAlignment="1">
      <alignment vertical="center"/>
    </xf>
    <xf numFmtId="8" fontId="0" fillId="4" borderId="1" xfId="0" applyNumberForma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8" fontId="2" fillId="5" borderId="1" xfId="0" applyNumberFormat="1" applyFont="1" applyFill="1" applyBorder="1" applyAlignment="1">
      <alignment horizontal="left" vertical="center" wrapText="1"/>
    </xf>
    <xf numFmtId="6" fontId="2" fillId="2" borderId="1" xfId="0" applyNumberFormat="1" applyFont="1" applyFill="1" applyBorder="1" applyAlignment="1">
      <alignment horizontal="left" vertical="top" wrapText="1"/>
    </xf>
    <xf numFmtId="0" fontId="0" fillId="4" borderId="0" xfId="0" applyFill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8" fontId="2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8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vertical="center"/>
    </xf>
    <xf numFmtId="0" fontId="0" fillId="4" borderId="0" xfId="0" applyFill="1" applyAlignment="1">
      <alignment horizontal="left" vertical="center"/>
    </xf>
    <xf numFmtId="8" fontId="0" fillId="4" borderId="1" xfId="0" applyNumberForma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 wrapText="1"/>
    </xf>
    <xf numFmtId="8" fontId="0" fillId="6" borderId="1" xfId="0" applyNumberFormat="1" applyFill="1" applyBorder="1" applyAlignment="1">
      <alignment horizontal="left" vertical="center"/>
    </xf>
    <xf numFmtId="8" fontId="0" fillId="6" borderId="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48CF-810F-43F4-83D3-2C801116E96B}">
  <dimension ref="A1:H182"/>
  <sheetViews>
    <sheetView tabSelected="1" topLeftCell="A39" workbookViewId="0">
      <selection activeCell="O9" sqref="O9"/>
    </sheetView>
  </sheetViews>
  <sheetFormatPr defaultRowHeight="15" x14ac:dyDescent="0.25"/>
  <cols>
    <col min="1" max="1" width="15.85546875" customWidth="1"/>
    <col min="2" max="2" width="15.140625" hidden="1" customWidth="1"/>
    <col min="3" max="3" width="16.5703125" hidden="1" customWidth="1"/>
    <col min="4" max="4" width="0" hidden="1" customWidth="1"/>
    <col min="5" max="5" width="14.5703125" hidden="1" customWidth="1"/>
    <col min="6" max="7" width="18.28515625" style="24" customWidth="1"/>
    <col min="8" max="8" width="15.42578125" style="24" customWidth="1"/>
  </cols>
  <sheetData>
    <row r="1" spans="1:8" ht="38.25" x14ac:dyDescent="0.25">
      <c r="A1" s="15" t="s">
        <v>973</v>
      </c>
      <c r="B1" s="1" t="s">
        <v>0</v>
      </c>
      <c r="C1" s="1" t="s">
        <v>1</v>
      </c>
      <c r="D1" s="1" t="s">
        <v>2</v>
      </c>
      <c r="E1" s="1" t="s">
        <v>3</v>
      </c>
      <c r="F1" s="7" t="s">
        <v>971</v>
      </c>
      <c r="G1" s="26" t="s">
        <v>1004</v>
      </c>
      <c r="H1" s="7" t="s">
        <v>972</v>
      </c>
    </row>
    <row r="2" spans="1:8" x14ac:dyDescent="0.25">
      <c r="A2" s="2" t="s">
        <v>4</v>
      </c>
      <c r="B2" s="2" t="s">
        <v>5</v>
      </c>
      <c r="C2" s="2" t="s">
        <v>6</v>
      </c>
      <c r="D2" s="2">
        <v>1</v>
      </c>
      <c r="E2" s="3">
        <v>38.17</v>
      </c>
      <c r="F2" s="9">
        <f>E2*1.12</f>
        <v>42.750400000000006</v>
      </c>
      <c r="G2" s="9">
        <f>F2/2</f>
        <v>21.375200000000003</v>
      </c>
      <c r="H2" s="9">
        <f>F2*1.35</f>
        <v>57.713040000000014</v>
      </c>
    </row>
    <row r="3" spans="1:8" ht="25.5" x14ac:dyDescent="0.25">
      <c r="A3" s="4" t="s">
        <v>4</v>
      </c>
      <c r="B3" s="4" t="s">
        <v>7</v>
      </c>
      <c r="C3" s="4" t="s">
        <v>8</v>
      </c>
      <c r="D3" s="4">
        <v>0.9</v>
      </c>
      <c r="E3" s="5">
        <v>38.17</v>
      </c>
      <c r="F3" s="9">
        <f t="shared" ref="F3:F66" si="0">E3*1.12</f>
        <v>42.750400000000006</v>
      </c>
      <c r="G3" s="9">
        <f t="shared" ref="G3:G66" si="1">F3/2</f>
        <v>21.375200000000003</v>
      </c>
      <c r="H3" s="9">
        <f t="shared" ref="H3:H66" si="2">F3*1.35</f>
        <v>57.713040000000014</v>
      </c>
    </row>
    <row r="4" spans="1:8" ht="25.5" x14ac:dyDescent="0.25">
      <c r="A4" s="2" t="s">
        <v>4</v>
      </c>
      <c r="B4" s="2" t="s">
        <v>9</v>
      </c>
      <c r="C4" s="2" t="s">
        <v>10</v>
      </c>
      <c r="D4" s="2">
        <v>1</v>
      </c>
      <c r="E4" s="3">
        <v>38.17</v>
      </c>
      <c r="F4" s="9">
        <f t="shared" si="0"/>
        <v>42.750400000000006</v>
      </c>
      <c r="G4" s="9">
        <f t="shared" si="1"/>
        <v>21.375200000000003</v>
      </c>
      <c r="H4" s="9">
        <f t="shared" si="2"/>
        <v>57.713040000000014</v>
      </c>
    </row>
    <row r="5" spans="1:8" x14ac:dyDescent="0.25">
      <c r="A5" s="4" t="s">
        <v>4</v>
      </c>
      <c r="B5" s="4" t="s">
        <v>11</v>
      </c>
      <c r="C5" s="4" t="s">
        <v>12</v>
      </c>
      <c r="D5" s="4">
        <v>1</v>
      </c>
      <c r="E5" s="5">
        <v>38.17</v>
      </c>
      <c r="F5" s="9">
        <f t="shared" si="0"/>
        <v>42.750400000000006</v>
      </c>
      <c r="G5" s="9">
        <f t="shared" si="1"/>
        <v>21.375200000000003</v>
      </c>
      <c r="H5" s="9">
        <f t="shared" si="2"/>
        <v>57.713040000000014</v>
      </c>
    </row>
    <row r="6" spans="1:8" x14ac:dyDescent="0.25">
      <c r="A6" s="2" t="s">
        <v>4</v>
      </c>
      <c r="B6" s="2" t="s">
        <v>13</v>
      </c>
      <c r="C6" s="2" t="s">
        <v>14</v>
      </c>
      <c r="D6" s="2">
        <v>1</v>
      </c>
      <c r="E6" s="3">
        <v>38.17</v>
      </c>
      <c r="F6" s="9">
        <f t="shared" si="0"/>
        <v>42.750400000000006</v>
      </c>
      <c r="G6" s="9">
        <f t="shared" si="1"/>
        <v>21.375200000000003</v>
      </c>
      <c r="H6" s="9">
        <f t="shared" si="2"/>
        <v>57.713040000000014</v>
      </c>
    </row>
    <row r="7" spans="1:8" ht="38.25" x14ac:dyDescent="0.25">
      <c r="A7" s="4" t="s">
        <v>4</v>
      </c>
      <c r="B7" s="4" t="s">
        <v>13</v>
      </c>
      <c r="C7" s="4" t="s">
        <v>15</v>
      </c>
      <c r="D7" s="4">
        <v>1</v>
      </c>
      <c r="E7" s="5">
        <v>38.17</v>
      </c>
      <c r="F7" s="9">
        <f t="shared" si="0"/>
        <v>42.750400000000006</v>
      </c>
      <c r="G7" s="9">
        <f t="shared" si="1"/>
        <v>21.375200000000003</v>
      </c>
      <c r="H7" s="9">
        <f t="shared" si="2"/>
        <v>57.713040000000014</v>
      </c>
    </row>
    <row r="8" spans="1:8" ht="25.5" x14ac:dyDescent="0.25">
      <c r="A8" s="2" t="s">
        <v>4</v>
      </c>
      <c r="B8" s="2" t="s">
        <v>16</v>
      </c>
      <c r="C8" s="2" t="s">
        <v>17</v>
      </c>
      <c r="D8" s="2" t="s">
        <v>18</v>
      </c>
      <c r="E8" s="3">
        <v>38.17</v>
      </c>
      <c r="F8" s="9">
        <f t="shared" si="0"/>
        <v>42.750400000000006</v>
      </c>
      <c r="G8" s="9">
        <f t="shared" si="1"/>
        <v>21.375200000000003</v>
      </c>
      <c r="H8" s="9">
        <f t="shared" si="2"/>
        <v>57.713040000000014</v>
      </c>
    </row>
    <row r="9" spans="1:8" ht="25.5" x14ac:dyDescent="0.25">
      <c r="A9" s="4" t="s">
        <v>4</v>
      </c>
      <c r="B9" s="4" t="s">
        <v>19</v>
      </c>
      <c r="C9" s="4" t="s">
        <v>20</v>
      </c>
      <c r="D9" s="4">
        <v>0.6</v>
      </c>
      <c r="E9" s="5">
        <v>38.17</v>
      </c>
      <c r="F9" s="9">
        <f t="shared" si="0"/>
        <v>42.750400000000006</v>
      </c>
      <c r="G9" s="9">
        <f t="shared" si="1"/>
        <v>21.375200000000003</v>
      </c>
      <c r="H9" s="9">
        <f t="shared" si="2"/>
        <v>57.713040000000014</v>
      </c>
    </row>
    <row r="10" spans="1:8" x14ac:dyDescent="0.25">
      <c r="A10" s="2" t="s">
        <v>4</v>
      </c>
      <c r="B10" s="2" t="s">
        <v>21</v>
      </c>
      <c r="C10" s="2" t="s">
        <v>22</v>
      </c>
      <c r="D10" s="2">
        <v>1</v>
      </c>
      <c r="E10" s="3">
        <v>38.17</v>
      </c>
      <c r="F10" s="9">
        <f t="shared" si="0"/>
        <v>42.750400000000006</v>
      </c>
      <c r="G10" s="9">
        <f t="shared" si="1"/>
        <v>21.375200000000003</v>
      </c>
      <c r="H10" s="9">
        <f t="shared" si="2"/>
        <v>57.713040000000014</v>
      </c>
    </row>
    <row r="11" spans="1:8" ht="25.5" x14ac:dyDescent="0.25">
      <c r="A11" s="4" t="s">
        <v>4</v>
      </c>
      <c r="B11" s="4" t="s">
        <v>23</v>
      </c>
      <c r="C11" s="4" t="s">
        <v>24</v>
      </c>
      <c r="D11" s="4">
        <v>1</v>
      </c>
      <c r="E11" s="5">
        <v>38.17</v>
      </c>
      <c r="F11" s="9">
        <f t="shared" si="0"/>
        <v>42.750400000000006</v>
      </c>
      <c r="G11" s="9">
        <f t="shared" si="1"/>
        <v>21.375200000000003</v>
      </c>
      <c r="H11" s="9">
        <f t="shared" si="2"/>
        <v>57.713040000000014</v>
      </c>
    </row>
    <row r="12" spans="1:8" x14ac:dyDescent="0.25">
      <c r="A12" s="2" t="s">
        <v>4</v>
      </c>
      <c r="B12" s="2" t="s">
        <v>25</v>
      </c>
      <c r="C12" s="2" t="s">
        <v>26</v>
      </c>
      <c r="D12" s="2">
        <v>1</v>
      </c>
      <c r="E12" s="3">
        <v>38.17</v>
      </c>
      <c r="F12" s="9">
        <f t="shared" si="0"/>
        <v>42.750400000000006</v>
      </c>
      <c r="G12" s="9">
        <f t="shared" si="1"/>
        <v>21.375200000000003</v>
      </c>
      <c r="H12" s="9">
        <f t="shared" si="2"/>
        <v>57.713040000000014</v>
      </c>
    </row>
    <row r="13" spans="1:8" ht="25.5" x14ac:dyDescent="0.25">
      <c r="A13" s="4" t="s">
        <v>27</v>
      </c>
      <c r="B13" s="4" t="s">
        <v>7</v>
      </c>
      <c r="C13" s="4" t="s">
        <v>28</v>
      </c>
      <c r="D13" s="4" t="s">
        <v>18</v>
      </c>
      <c r="E13" s="5">
        <v>43.28</v>
      </c>
      <c r="F13" s="9">
        <f t="shared" si="0"/>
        <v>48.473600000000005</v>
      </c>
      <c r="G13" s="9">
        <f t="shared" si="1"/>
        <v>24.236800000000002</v>
      </c>
      <c r="H13" s="9">
        <f t="shared" si="2"/>
        <v>65.439360000000008</v>
      </c>
    </row>
    <row r="14" spans="1:8" x14ac:dyDescent="0.25">
      <c r="A14" s="2" t="s">
        <v>27</v>
      </c>
      <c r="B14" s="2" t="s">
        <v>7</v>
      </c>
      <c r="C14" s="2" t="s">
        <v>29</v>
      </c>
      <c r="D14" s="2" t="s">
        <v>18</v>
      </c>
      <c r="E14" s="3">
        <v>43.28</v>
      </c>
      <c r="F14" s="9">
        <f t="shared" si="0"/>
        <v>48.473600000000005</v>
      </c>
      <c r="G14" s="9">
        <f t="shared" si="1"/>
        <v>24.236800000000002</v>
      </c>
      <c r="H14" s="9">
        <f t="shared" si="2"/>
        <v>65.439360000000008</v>
      </c>
    </row>
    <row r="15" spans="1:8" x14ac:dyDescent="0.25">
      <c r="A15" s="4" t="s">
        <v>27</v>
      </c>
      <c r="B15" s="4" t="s">
        <v>7</v>
      </c>
      <c r="C15" s="4" t="s">
        <v>30</v>
      </c>
      <c r="D15" s="4" t="s">
        <v>18</v>
      </c>
      <c r="E15" s="5">
        <v>43.28</v>
      </c>
      <c r="F15" s="9">
        <f t="shared" si="0"/>
        <v>48.473600000000005</v>
      </c>
      <c r="G15" s="9">
        <f t="shared" si="1"/>
        <v>24.236800000000002</v>
      </c>
      <c r="H15" s="9">
        <f t="shared" si="2"/>
        <v>65.439360000000008</v>
      </c>
    </row>
    <row r="16" spans="1:8" ht="25.5" x14ac:dyDescent="0.25">
      <c r="A16" s="2" t="s">
        <v>27</v>
      </c>
      <c r="B16" s="2" t="s">
        <v>7</v>
      </c>
      <c r="C16" s="2" t="s">
        <v>31</v>
      </c>
      <c r="D16" s="2">
        <v>1.2</v>
      </c>
      <c r="E16" s="3">
        <v>43.28</v>
      </c>
      <c r="F16" s="9">
        <f t="shared" si="0"/>
        <v>48.473600000000005</v>
      </c>
      <c r="G16" s="9">
        <f t="shared" si="1"/>
        <v>24.236800000000002</v>
      </c>
      <c r="H16" s="9">
        <f t="shared" si="2"/>
        <v>65.439360000000008</v>
      </c>
    </row>
    <row r="17" spans="1:8" ht="25.5" x14ac:dyDescent="0.25">
      <c r="A17" s="4" t="s">
        <v>27</v>
      </c>
      <c r="B17" s="4" t="s">
        <v>7</v>
      </c>
      <c r="C17" s="4" t="s">
        <v>32</v>
      </c>
      <c r="D17" s="4">
        <v>1.2</v>
      </c>
      <c r="E17" s="5">
        <v>43.28</v>
      </c>
      <c r="F17" s="9">
        <f t="shared" si="0"/>
        <v>48.473600000000005</v>
      </c>
      <c r="G17" s="9">
        <f t="shared" si="1"/>
        <v>24.236800000000002</v>
      </c>
      <c r="H17" s="9">
        <f t="shared" si="2"/>
        <v>65.439360000000008</v>
      </c>
    </row>
    <row r="18" spans="1:8" x14ac:dyDescent="0.25">
      <c r="A18" s="2" t="s">
        <v>27</v>
      </c>
      <c r="B18" s="2" t="s">
        <v>33</v>
      </c>
      <c r="C18" s="2" t="s">
        <v>34</v>
      </c>
      <c r="D18" s="2">
        <v>1.2</v>
      </c>
      <c r="E18" s="3">
        <v>43.28</v>
      </c>
      <c r="F18" s="9">
        <f t="shared" si="0"/>
        <v>48.473600000000005</v>
      </c>
      <c r="G18" s="9">
        <f t="shared" si="1"/>
        <v>24.236800000000002</v>
      </c>
      <c r="H18" s="9">
        <f t="shared" si="2"/>
        <v>65.439360000000008</v>
      </c>
    </row>
    <row r="19" spans="1:8" ht="25.5" x14ac:dyDescent="0.25">
      <c r="A19" s="4" t="s">
        <v>27</v>
      </c>
      <c r="B19" s="4" t="s">
        <v>35</v>
      </c>
      <c r="C19" s="4" t="s">
        <v>36</v>
      </c>
      <c r="D19" s="4">
        <v>1.2</v>
      </c>
      <c r="E19" s="5">
        <v>43.28</v>
      </c>
      <c r="F19" s="9">
        <f t="shared" si="0"/>
        <v>48.473600000000005</v>
      </c>
      <c r="G19" s="9">
        <f t="shared" si="1"/>
        <v>24.236800000000002</v>
      </c>
      <c r="H19" s="9">
        <f t="shared" si="2"/>
        <v>65.439360000000008</v>
      </c>
    </row>
    <row r="20" spans="1:8" x14ac:dyDescent="0.25">
      <c r="A20" s="2" t="s">
        <v>27</v>
      </c>
      <c r="B20" s="2" t="s">
        <v>37</v>
      </c>
      <c r="C20" s="2" t="s">
        <v>38</v>
      </c>
      <c r="D20" s="2">
        <v>1.2</v>
      </c>
      <c r="E20" s="3">
        <v>43.28</v>
      </c>
      <c r="F20" s="9">
        <f t="shared" si="0"/>
        <v>48.473600000000005</v>
      </c>
      <c r="G20" s="9">
        <f t="shared" si="1"/>
        <v>24.236800000000002</v>
      </c>
      <c r="H20" s="9">
        <f t="shared" si="2"/>
        <v>65.439360000000008</v>
      </c>
    </row>
    <row r="21" spans="1:8" ht="38.25" x14ac:dyDescent="0.25">
      <c r="A21" s="4" t="s">
        <v>27</v>
      </c>
      <c r="B21" s="4" t="s">
        <v>39</v>
      </c>
      <c r="C21" s="4" t="s">
        <v>40</v>
      </c>
      <c r="D21" s="4">
        <v>1.2</v>
      </c>
      <c r="E21" s="5">
        <v>43.28</v>
      </c>
      <c r="F21" s="9">
        <f t="shared" si="0"/>
        <v>48.473600000000005</v>
      </c>
      <c r="G21" s="9">
        <f t="shared" si="1"/>
        <v>24.236800000000002</v>
      </c>
      <c r="H21" s="9">
        <f t="shared" si="2"/>
        <v>65.439360000000008</v>
      </c>
    </row>
    <row r="22" spans="1:8" ht="25.5" x14ac:dyDescent="0.25">
      <c r="A22" s="2" t="s">
        <v>27</v>
      </c>
      <c r="B22" s="2" t="s">
        <v>19</v>
      </c>
      <c r="C22" s="2" t="s">
        <v>41</v>
      </c>
      <c r="D22" s="2">
        <v>1.1000000000000001</v>
      </c>
      <c r="E22" s="3">
        <v>43.28</v>
      </c>
      <c r="F22" s="9">
        <f t="shared" si="0"/>
        <v>48.473600000000005</v>
      </c>
      <c r="G22" s="9">
        <f t="shared" si="1"/>
        <v>24.236800000000002</v>
      </c>
      <c r="H22" s="9">
        <f t="shared" si="2"/>
        <v>65.439360000000008</v>
      </c>
    </row>
    <row r="23" spans="1:8" ht="25.5" x14ac:dyDescent="0.25">
      <c r="A23" s="4" t="s">
        <v>27</v>
      </c>
      <c r="B23" s="4" t="s">
        <v>42</v>
      </c>
      <c r="C23" s="4" t="s">
        <v>43</v>
      </c>
      <c r="D23" s="4">
        <v>1.2</v>
      </c>
      <c r="E23" s="5">
        <v>43.28</v>
      </c>
      <c r="F23" s="9">
        <f t="shared" si="0"/>
        <v>48.473600000000005</v>
      </c>
      <c r="G23" s="9">
        <f t="shared" si="1"/>
        <v>24.236800000000002</v>
      </c>
      <c r="H23" s="9">
        <f t="shared" si="2"/>
        <v>65.439360000000008</v>
      </c>
    </row>
    <row r="24" spans="1:8" ht="25.5" x14ac:dyDescent="0.25">
      <c r="A24" s="2" t="s">
        <v>27</v>
      </c>
      <c r="B24" s="2" t="s">
        <v>23</v>
      </c>
      <c r="C24" s="2" t="s">
        <v>44</v>
      </c>
      <c r="D24" s="2">
        <v>1.2</v>
      </c>
      <c r="E24" s="3">
        <v>43.28</v>
      </c>
      <c r="F24" s="9">
        <f t="shared" si="0"/>
        <v>48.473600000000005</v>
      </c>
      <c r="G24" s="9">
        <f t="shared" si="1"/>
        <v>24.236800000000002</v>
      </c>
      <c r="H24" s="9">
        <f t="shared" si="2"/>
        <v>65.439360000000008</v>
      </c>
    </row>
    <row r="25" spans="1:8" x14ac:dyDescent="0.25">
      <c r="A25" s="4" t="s">
        <v>27</v>
      </c>
      <c r="B25" s="4" t="s">
        <v>25</v>
      </c>
      <c r="C25" s="4" t="s">
        <v>45</v>
      </c>
      <c r="D25" s="4">
        <v>1.2</v>
      </c>
      <c r="E25" s="5">
        <v>43.28</v>
      </c>
      <c r="F25" s="9">
        <f t="shared" si="0"/>
        <v>48.473600000000005</v>
      </c>
      <c r="G25" s="9">
        <f t="shared" si="1"/>
        <v>24.236800000000002</v>
      </c>
      <c r="H25" s="9">
        <f t="shared" si="2"/>
        <v>65.439360000000008</v>
      </c>
    </row>
    <row r="26" spans="1:8" ht="38.25" x14ac:dyDescent="0.25">
      <c r="A26" s="2" t="s">
        <v>46</v>
      </c>
      <c r="B26" s="2" t="s">
        <v>33</v>
      </c>
      <c r="C26" s="2" t="s">
        <v>47</v>
      </c>
      <c r="D26" s="2">
        <v>1</v>
      </c>
      <c r="E26" s="3">
        <v>46.16</v>
      </c>
      <c r="F26" s="9">
        <f t="shared" si="0"/>
        <v>51.699199999999998</v>
      </c>
      <c r="G26" s="9">
        <f t="shared" si="1"/>
        <v>25.849599999999999</v>
      </c>
      <c r="H26" s="9">
        <f t="shared" si="2"/>
        <v>69.79392</v>
      </c>
    </row>
    <row r="27" spans="1:8" x14ac:dyDescent="0.25">
      <c r="A27" s="4" t="s">
        <v>46</v>
      </c>
      <c r="B27" s="4" t="s">
        <v>33</v>
      </c>
      <c r="C27" s="4" t="s">
        <v>48</v>
      </c>
      <c r="D27" s="4">
        <v>1.4</v>
      </c>
      <c r="E27" s="5">
        <v>46.16</v>
      </c>
      <c r="F27" s="9">
        <f t="shared" si="0"/>
        <v>51.699199999999998</v>
      </c>
      <c r="G27" s="9">
        <f t="shared" si="1"/>
        <v>25.849599999999999</v>
      </c>
      <c r="H27" s="9">
        <f t="shared" si="2"/>
        <v>69.79392</v>
      </c>
    </row>
    <row r="28" spans="1:8" x14ac:dyDescent="0.25">
      <c r="A28" s="2" t="s">
        <v>46</v>
      </c>
      <c r="B28" s="2" t="s">
        <v>49</v>
      </c>
      <c r="C28" s="2" t="s">
        <v>50</v>
      </c>
      <c r="D28" s="2">
        <v>1.4</v>
      </c>
      <c r="E28" s="3">
        <v>46.16</v>
      </c>
      <c r="F28" s="9">
        <f t="shared" si="0"/>
        <v>51.699199999999998</v>
      </c>
      <c r="G28" s="9">
        <f t="shared" si="1"/>
        <v>25.849599999999999</v>
      </c>
      <c r="H28" s="9">
        <f t="shared" si="2"/>
        <v>69.79392</v>
      </c>
    </row>
    <row r="29" spans="1:8" x14ac:dyDescent="0.25">
      <c r="A29" s="4" t="s">
        <v>46</v>
      </c>
      <c r="B29" s="4" t="s">
        <v>49</v>
      </c>
      <c r="C29" s="4" t="s">
        <v>51</v>
      </c>
      <c r="D29" s="4">
        <v>1.5</v>
      </c>
      <c r="E29" s="5">
        <v>46.16</v>
      </c>
      <c r="F29" s="9">
        <f t="shared" si="0"/>
        <v>51.699199999999998</v>
      </c>
      <c r="G29" s="9">
        <f t="shared" si="1"/>
        <v>25.849599999999999</v>
      </c>
      <c r="H29" s="9">
        <f t="shared" si="2"/>
        <v>69.79392</v>
      </c>
    </row>
    <row r="30" spans="1:8" ht="25.5" x14ac:dyDescent="0.25">
      <c r="A30" s="2" t="s">
        <v>46</v>
      </c>
      <c r="B30" s="2" t="s">
        <v>35</v>
      </c>
      <c r="C30" s="2" t="s">
        <v>52</v>
      </c>
      <c r="D30" s="2">
        <v>1.5</v>
      </c>
      <c r="E30" s="3">
        <v>46.16</v>
      </c>
      <c r="F30" s="9">
        <f t="shared" si="0"/>
        <v>51.699199999999998</v>
      </c>
      <c r="G30" s="9">
        <f t="shared" si="1"/>
        <v>25.849599999999999</v>
      </c>
      <c r="H30" s="9">
        <f t="shared" si="2"/>
        <v>69.79392</v>
      </c>
    </row>
    <row r="31" spans="1:8" ht="38.25" x14ac:dyDescent="0.25">
      <c r="A31" s="4" t="s">
        <v>46</v>
      </c>
      <c r="B31" s="4" t="s">
        <v>35</v>
      </c>
      <c r="C31" s="4" t="s">
        <v>53</v>
      </c>
      <c r="D31" s="4">
        <v>1.4</v>
      </c>
      <c r="E31" s="5">
        <v>46.16</v>
      </c>
      <c r="F31" s="9">
        <f t="shared" si="0"/>
        <v>51.699199999999998</v>
      </c>
      <c r="G31" s="9">
        <f t="shared" si="1"/>
        <v>25.849599999999999</v>
      </c>
      <c r="H31" s="9">
        <f t="shared" si="2"/>
        <v>69.79392</v>
      </c>
    </row>
    <row r="32" spans="1:8" ht="25.5" x14ac:dyDescent="0.25">
      <c r="A32" s="2" t="s">
        <v>46</v>
      </c>
      <c r="B32" s="2" t="s">
        <v>11</v>
      </c>
      <c r="C32" s="2" t="s">
        <v>54</v>
      </c>
      <c r="D32" s="2">
        <v>0.9</v>
      </c>
      <c r="E32" s="3">
        <v>46.16</v>
      </c>
      <c r="F32" s="9">
        <f t="shared" si="0"/>
        <v>51.699199999999998</v>
      </c>
      <c r="G32" s="9">
        <f t="shared" si="1"/>
        <v>25.849599999999999</v>
      </c>
      <c r="H32" s="9">
        <f t="shared" si="2"/>
        <v>69.79392</v>
      </c>
    </row>
    <row r="33" spans="1:8" ht="51" x14ac:dyDescent="0.25">
      <c r="A33" s="4" t="s">
        <v>46</v>
      </c>
      <c r="B33" s="4" t="s">
        <v>11</v>
      </c>
      <c r="C33" s="4" t="s">
        <v>55</v>
      </c>
      <c r="D33" s="4">
        <v>1.4</v>
      </c>
      <c r="E33" s="5">
        <v>46.16</v>
      </c>
      <c r="F33" s="9">
        <f t="shared" si="0"/>
        <v>51.699199999999998</v>
      </c>
      <c r="G33" s="9">
        <f t="shared" si="1"/>
        <v>25.849599999999999</v>
      </c>
      <c r="H33" s="9">
        <f t="shared" si="2"/>
        <v>69.79392</v>
      </c>
    </row>
    <row r="34" spans="1:8" x14ac:dyDescent="0.25">
      <c r="A34" s="2" t="s">
        <v>46</v>
      </c>
      <c r="B34" s="2" t="s">
        <v>13</v>
      </c>
      <c r="C34" s="2" t="s">
        <v>56</v>
      </c>
      <c r="D34" s="2">
        <v>1.4</v>
      </c>
      <c r="E34" s="3">
        <v>46.16</v>
      </c>
      <c r="F34" s="9">
        <f t="shared" si="0"/>
        <v>51.699199999999998</v>
      </c>
      <c r="G34" s="9">
        <f t="shared" si="1"/>
        <v>25.849599999999999</v>
      </c>
      <c r="H34" s="9">
        <f t="shared" si="2"/>
        <v>69.79392</v>
      </c>
    </row>
    <row r="35" spans="1:8" x14ac:dyDescent="0.25">
      <c r="A35" s="4" t="s">
        <v>46</v>
      </c>
      <c r="B35" s="4" t="s">
        <v>13</v>
      </c>
      <c r="C35" s="4" t="s">
        <v>57</v>
      </c>
      <c r="D35" s="4">
        <v>1.4</v>
      </c>
      <c r="E35" s="5">
        <v>46.16</v>
      </c>
      <c r="F35" s="9">
        <f t="shared" si="0"/>
        <v>51.699199999999998</v>
      </c>
      <c r="G35" s="9">
        <f t="shared" si="1"/>
        <v>25.849599999999999</v>
      </c>
      <c r="H35" s="9">
        <f t="shared" si="2"/>
        <v>69.79392</v>
      </c>
    </row>
    <row r="36" spans="1:8" ht="38.25" x14ac:dyDescent="0.25">
      <c r="A36" s="2" t="s">
        <v>46</v>
      </c>
      <c r="B36" s="2" t="s">
        <v>13</v>
      </c>
      <c r="C36" s="2" t="s">
        <v>58</v>
      </c>
      <c r="D36" s="2" t="s">
        <v>18</v>
      </c>
      <c r="E36" s="3">
        <v>46.16</v>
      </c>
      <c r="F36" s="9">
        <f t="shared" si="0"/>
        <v>51.699199999999998</v>
      </c>
      <c r="G36" s="9">
        <f t="shared" si="1"/>
        <v>25.849599999999999</v>
      </c>
      <c r="H36" s="9">
        <f t="shared" si="2"/>
        <v>69.79392</v>
      </c>
    </row>
    <row r="37" spans="1:8" ht="38.25" x14ac:dyDescent="0.25">
      <c r="A37" s="4" t="s">
        <v>46</v>
      </c>
      <c r="B37" s="4" t="s">
        <v>37</v>
      </c>
      <c r="C37" s="4" t="s">
        <v>59</v>
      </c>
      <c r="D37" s="4" t="s">
        <v>18</v>
      </c>
      <c r="E37" s="5">
        <v>46.16</v>
      </c>
      <c r="F37" s="9">
        <f t="shared" si="0"/>
        <v>51.699199999999998</v>
      </c>
      <c r="G37" s="9">
        <f t="shared" si="1"/>
        <v>25.849599999999999</v>
      </c>
      <c r="H37" s="9">
        <f t="shared" si="2"/>
        <v>69.79392</v>
      </c>
    </row>
    <row r="38" spans="1:8" ht="25.5" x14ac:dyDescent="0.25">
      <c r="A38" s="2" t="s">
        <v>46</v>
      </c>
      <c r="B38" s="2" t="s">
        <v>37</v>
      </c>
      <c r="C38" s="2" t="s">
        <v>60</v>
      </c>
      <c r="D38" s="2">
        <v>1.5</v>
      </c>
      <c r="E38" s="3">
        <v>46.16</v>
      </c>
      <c r="F38" s="9">
        <f t="shared" si="0"/>
        <v>51.699199999999998</v>
      </c>
      <c r="G38" s="9">
        <f t="shared" si="1"/>
        <v>25.849599999999999</v>
      </c>
      <c r="H38" s="9">
        <f t="shared" si="2"/>
        <v>69.79392</v>
      </c>
    </row>
    <row r="39" spans="1:8" ht="51" x14ac:dyDescent="0.25">
      <c r="A39" s="4" t="s">
        <v>46</v>
      </c>
      <c r="B39" s="4" t="s">
        <v>37</v>
      </c>
      <c r="C39" s="4" t="s">
        <v>61</v>
      </c>
      <c r="D39" s="4">
        <v>1.1000000000000001</v>
      </c>
      <c r="E39" s="5">
        <v>46.16</v>
      </c>
      <c r="F39" s="9">
        <f t="shared" si="0"/>
        <v>51.699199999999998</v>
      </c>
      <c r="G39" s="9">
        <f t="shared" si="1"/>
        <v>25.849599999999999</v>
      </c>
      <c r="H39" s="9">
        <f t="shared" si="2"/>
        <v>69.79392</v>
      </c>
    </row>
    <row r="40" spans="1:8" ht="25.5" x14ac:dyDescent="0.25">
      <c r="A40" s="2" t="s">
        <v>46</v>
      </c>
      <c r="B40" s="2" t="s">
        <v>19</v>
      </c>
      <c r="C40" s="2" t="s">
        <v>62</v>
      </c>
      <c r="D40" s="2">
        <v>1.3</v>
      </c>
      <c r="E40" s="3">
        <v>46.16</v>
      </c>
      <c r="F40" s="9">
        <f t="shared" si="0"/>
        <v>51.699199999999998</v>
      </c>
      <c r="G40" s="9">
        <f t="shared" si="1"/>
        <v>25.849599999999999</v>
      </c>
      <c r="H40" s="9">
        <f t="shared" si="2"/>
        <v>69.79392</v>
      </c>
    </row>
    <row r="41" spans="1:8" x14ac:dyDescent="0.25">
      <c r="A41" s="4" t="s">
        <v>46</v>
      </c>
      <c r="B41" s="4" t="s">
        <v>42</v>
      </c>
      <c r="C41" s="4" t="s">
        <v>63</v>
      </c>
      <c r="D41" s="4">
        <v>1.4</v>
      </c>
      <c r="E41" s="5">
        <v>46.16</v>
      </c>
      <c r="F41" s="9">
        <f t="shared" si="0"/>
        <v>51.699199999999998</v>
      </c>
      <c r="G41" s="9">
        <f t="shared" si="1"/>
        <v>25.849599999999999</v>
      </c>
      <c r="H41" s="9">
        <f t="shared" si="2"/>
        <v>69.79392</v>
      </c>
    </row>
    <row r="42" spans="1:8" ht="25.5" x14ac:dyDescent="0.25">
      <c r="A42" s="2" t="s">
        <v>46</v>
      </c>
      <c r="B42" s="2" t="s">
        <v>21</v>
      </c>
      <c r="C42" s="2" t="s">
        <v>64</v>
      </c>
      <c r="D42" s="2">
        <v>1.4</v>
      </c>
      <c r="E42" s="3">
        <v>46.16</v>
      </c>
      <c r="F42" s="9">
        <f t="shared" si="0"/>
        <v>51.699199999999998</v>
      </c>
      <c r="G42" s="9">
        <f t="shared" si="1"/>
        <v>25.849599999999999</v>
      </c>
      <c r="H42" s="9">
        <f t="shared" si="2"/>
        <v>69.79392</v>
      </c>
    </row>
    <row r="43" spans="1:8" ht="25.5" x14ac:dyDescent="0.25">
      <c r="A43" s="4" t="s">
        <v>46</v>
      </c>
      <c r="B43" s="4" t="s">
        <v>23</v>
      </c>
      <c r="C43" s="4" t="s">
        <v>65</v>
      </c>
      <c r="D43" s="4">
        <v>1.4</v>
      </c>
      <c r="E43" s="5">
        <v>46.16</v>
      </c>
      <c r="F43" s="9">
        <f t="shared" si="0"/>
        <v>51.699199999999998</v>
      </c>
      <c r="G43" s="9">
        <f t="shared" si="1"/>
        <v>25.849599999999999</v>
      </c>
      <c r="H43" s="9">
        <f t="shared" si="2"/>
        <v>69.79392</v>
      </c>
    </row>
    <row r="44" spans="1:8" ht="38.25" x14ac:dyDescent="0.25">
      <c r="A44" s="2" t="s">
        <v>46</v>
      </c>
      <c r="B44" s="2" t="s">
        <v>23</v>
      </c>
      <c r="C44" s="2" t="s">
        <v>66</v>
      </c>
      <c r="D44" s="2">
        <v>1.2</v>
      </c>
      <c r="E44" s="3">
        <v>46.16</v>
      </c>
      <c r="F44" s="9">
        <f t="shared" si="0"/>
        <v>51.699199999999998</v>
      </c>
      <c r="G44" s="9">
        <f t="shared" si="1"/>
        <v>25.849599999999999</v>
      </c>
      <c r="H44" s="9">
        <f t="shared" si="2"/>
        <v>69.79392</v>
      </c>
    </row>
    <row r="45" spans="1:8" ht="51" x14ac:dyDescent="0.25">
      <c r="A45" s="4" t="s">
        <v>46</v>
      </c>
      <c r="B45" s="4" t="s">
        <v>23</v>
      </c>
      <c r="C45" s="4" t="s">
        <v>67</v>
      </c>
      <c r="D45" s="4">
        <v>1.6</v>
      </c>
      <c r="E45" s="5">
        <v>46.16</v>
      </c>
      <c r="F45" s="9">
        <f t="shared" si="0"/>
        <v>51.699199999999998</v>
      </c>
      <c r="G45" s="9">
        <f t="shared" si="1"/>
        <v>25.849599999999999</v>
      </c>
      <c r="H45" s="9">
        <f t="shared" si="2"/>
        <v>69.79392</v>
      </c>
    </row>
    <row r="46" spans="1:8" ht="25.5" x14ac:dyDescent="0.25">
      <c r="A46" s="2" t="s">
        <v>46</v>
      </c>
      <c r="B46" s="2" t="s">
        <v>23</v>
      </c>
      <c r="C46" s="2" t="s">
        <v>68</v>
      </c>
      <c r="D46" s="2">
        <v>1.4</v>
      </c>
      <c r="E46" s="3">
        <v>46.16</v>
      </c>
      <c r="F46" s="9">
        <f t="shared" si="0"/>
        <v>51.699199999999998</v>
      </c>
      <c r="G46" s="9">
        <f t="shared" si="1"/>
        <v>25.849599999999999</v>
      </c>
      <c r="H46" s="9">
        <f t="shared" si="2"/>
        <v>69.79392</v>
      </c>
    </row>
    <row r="47" spans="1:8" ht="25.5" x14ac:dyDescent="0.25">
      <c r="A47" s="4" t="s">
        <v>46</v>
      </c>
      <c r="B47" s="4" t="s">
        <v>25</v>
      </c>
      <c r="C47" s="4" t="s">
        <v>69</v>
      </c>
      <c r="D47" s="4">
        <v>1.2</v>
      </c>
      <c r="E47" s="5">
        <v>46.16</v>
      </c>
      <c r="F47" s="9">
        <f t="shared" si="0"/>
        <v>51.699199999999998</v>
      </c>
      <c r="G47" s="9">
        <f t="shared" si="1"/>
        <v>25.849599999999999</v>
      </c>
      <c r="H47" s="9">
        <f t="shared" si="2"/>
        <v>69.79392</v>
      </c>
    </row>
    <row r="48" spans="1:8" x14ac:dyDescent="0.25">
      <c r="A48" s="2" t="s">
        <v>46</v>
      </c>
      <c r="B48" s="2" t="s">
        <v>25</v>
      </c>
      <c r="C48" s="2" t="s">
        <v>70</v>
      </c>
      <c r="D48" s="2">
        <v>1.4</v>
      </c>
      <c r="E48" s="3">
        <v>46.16</v>
      </c>
      <c r="F48" s="9">
        <f t="shared" si="0"/>
        <v>51.699199999999998</v>
      </c>
      <c r="G48" s="9">
        <f t="shared" si="1"/>
        <v>25.849599999999999</v>
      </c>
      <c r="H48" s="9">
        <f t="shared" si="2"/>
        <v>69.79392</v>
      </c>
    </row>
    <row r="49" spans="1:8" ht="38.25" x14ac:dyDescent="0.25">
      <c r="A49" s="4" t="s">
        <v>71</v>
      </c>
      <c r="B49" s="4" t="s">
        <v>72</v>
      </c>
      <c r="C49" s="4" t="s">
        <v>73</v>
      </c>
      <c r="D49" s="4">
        <v>1.4</v>
      </c>
      <c r="E49" s="5">
        <v>49.49</v>
      </c>
      <c r="F49" s="9">
        <f t="shared" si="0"/>
        <v>55.42880000000001</v>
      </c>
      <c r="G49" s="9">
        <f t="shared" si="1"/>
        <v>27.714400000000005</v>
      </c>
      <c r="H49" s="9">
        <f t="shared" si="2"/>
        <v>74.828880000000012</v>
      </c>
    </row>
    <row r="50" spans="1:8" ht="25.5" x14ac:dyDescent="0.25">
      <c r="A50" s="2" t="s">
        <v>71</v>
      </c>
      <c r="B50" s="2" t="s">
        <v>74</v>
      </c>
      <c r="C50" s="2" t="s">
        <v>75</v>
      </c>
      <c r="D50" s="2" t="s">
        <v>18</v>
      </c>
      <c r="E50" s="3">
        <v>49.49</v>
      </c>
      <c r="F50" s="9">
        <f t="shared" si="0"/>
        <v>55.42880000000001</v>
      </c>
      <c r="G50" s="9">
        <f t="shared" si="1"/>
        <v>27.714400000000005</v>
      </c>
      <c r="H50" s="9">
        <f t="shared" si="2"/>
        <v>74.828880000000012</v>
      </c>
    </row>
    <row r="51" spans="1:8" ht="25.5" x14ac:dyDescent="0.25">
      <c r="A51" s="4" t="s">
        <v>71</v>
      </c>
      <c r="B51" s="4" t="s">
        <v>5</v>
      </c>
      <c r="C51" s="4" t="s">
        <v>76</v>
      </c>
      <c r="D51" s="4">
        <v>1.4</v>
      </c>
      <c r="E51" s="5">
        <v>49.49</v>
      </c>
      <c r="F51" s="9">
        <f t="shared" si="0"/>
        <v>55.42880000000001</v>
      </c>
      <c r="G51" s="9">
        <f t="shared" si="1"/>
        <v>27.714400000000005</v>
      </c>
      <c r="H51" s="9">
        <f t="shared" si="2"/>
        <v>74.828880000000012</v>
      </c>
    </row>
    <row r="52" spans="1:8" ht="51" x14ac:dyDescent="0.25">
      <c r="A52" s="2" t="s">
        <v>71</v>
      </c>
      <c r="B52" s="2" t="s">
        <v>5</v>
      </c>
      <c r="C52" s="2" t="s">
        <v>77</v>
      </c>
      <c r="D52" s="2">
        <v>1.6</v>
      </c>
      <c r="E52" s="3">
        <v>49.49</v>
      </c>
      <c r="F52" s="9">
        <f t="shared" si="0"/>
        <v>55.42880000000001</v>
      </c>
      <c r="G52" s="9">
        <f t="shared" si="1"/>
        <v>27.714400000000005</v>
      </c>
      <c r="H52" s="9">
        <f t="shared" si="2"/>
        <v>74.828880000000012</v>
      </c>
    </row>
    <row r="53" spans="1:8" x14ac:dyDescent="0.25">
      <c r="A53" s="4" t="s">
        <v>71</v>
      </c>
      <c r="B53" s="4" t="s">
        <v>33</v>
      </c>
      <c r="C53" s="4" t="s">
        <v>78</v>
      </c>
      <c r="D53" s="4">
        <v>1.6</v>
      </c>
      <c r="E53" s="5">
        <v>49.49</v>
      </c>
      <c r="F53" s="9">
        <f t="shared" si="0"/>
        <v>55.42880000000001</v>
      </c>
      <c r="G53" s="9">
        <f t="shared" si="1"/>
        <v>27.714400000000005</v>
      </c>
      <c r="H53" s="9">
        <f t="shared" si="2"/>
        <v>74.828880000000012</v>
      </c>
    </row>
    <row r="54" spans="1:8" ht="38.25" x14ac:dyDescent="0.25">
      <c r="A54" s="2" t="s">
        <v>71</v>
      </c>
      <c r="B54" s="2" t="s">
        <v>33</v>
      </c>
      <c r="C54" s="2" t="s">
        <v>79</v>
      </c>
      <c r="D54" s="2">
        <v>1</v>
      </c>
      <c r="E54" s="3">
        <v>49.49</v>
      </c>
      <c r="F54" s="9">
        <f t="shared" si="0"/>
        <v>55.42880000000001</v>
      </c>
      <c r="G54" s="9">
        <f t="shared" si="1"/>
        <v>27.714400000000005</v>
      </c>
      <c r="H54" s="9">
        <f t="shared" si="2"/>
        <v>74.828880000000012</v>
      </c>
    </row>
    <row r="55" spans="1:8" ht="25.5" x14ac:dyDescent="0.25">
      <c r="A55" s="4" t="s">
        <v>71</v>
      </c>
      <c r="B55" s="4" t="s">
        <v>33</v>
      </c>
      <c r="C55" s="4" t="s">
        <v>80</v>
      </c>
      <c r="D55" s="4">
        <v>1</v>
      </c>
      <c r="E55" s="5">
        <v>49.49</v>
      </c>
      <c r="F55" s="9">
        <f t="shared" si="0"/>
        <v>55.42880000000001</v>
      </c>
      <c r="G55" s="9">
        <f t="shared" si="1"/>
        <v>27.714400000000005</v>
      </c>
      <c r="H55" s="9">
        <f t="shared" si="2"/>
        <v>74.828880000000012</v>
      </c>
    </row>
    <row r="56" spans="1:8" x14ac:dyDescent="0.25">
      <c r="A56" s="2" t="s">
        <v>71</v>
      </c>
      <c r="B56" s="2" t="s">
        <v>33</v>
      </c>
      <c r="C56" s="2" t="s">
        <v>81</v>
      </c>
      <c r="D56" s="2">
        <v>1.6</v>
      </c>
      <c r="E56" s="3">
        <v>49.49</v>
      </c>
      <c r="F56" s="9">
        <f t="shared" si="0"/>
        <v>55.42880000000001</v>
      </c>
      <c r="G56" s="9">
        <f t="shared" si="1"/>
        <v>27.714400000000005</v>
      </c>
      <c r="H56" s="9">
        <f t="shared" si="2"/>
        <v>74.828880000000012</v>
      </c>
    </row>
    <row r="57" spans="1:8" x14ac:dyDescent="0.25">
      <c r="A57" s="4" t="s">
        <v>71</v>
      </c>
      <c r="B57" s="4" t="s">
        <v>33</v>
      </c>
      <c r="C57" s="4" t="s">
        <v>82</v>
      </c>
      <c r="D57" s="4">
        <v>1</v>
      </c>
      <c r="E57" s="5">
        <v>49.49</v>
      </c>
      <c r="F57" s="9">
        <f t="shared" si="0"/>
        <v>55.42880000000001</v>
      </c>
      <c r="G57" s="9">
        <f t="shared" si="1"/>
        <v>27.714400000000005</v>
      </c>
      <c r="H57" s="9">
        <f t="shared" si="2"/>
        <v>74.828880000000012</v>
      </c>
    </row>
    <row r="58" spans="1:8" ht="25.5" x14ac:dyDescent="0.25">
      <c r="A58" s="2" t="s">
        <v>71</v>
      </c>
      <c r="B58" s="2" t="s">
        <v>49</v>
      </c>
      <c r="C58" s="2" t="s">
        <v>83</v>
      </c>
      <c r="D58" s="2">
        <v>1.4</v>
      </c>
      <c r="E58" s="3">
        <v>49.49</v>
      </c>
      <c r="F58" s="9">
        <f t="shared" si="0"/>
        <v>55.42880000000001</v>
      </c>
      <c r="G58" s="9">
        <f t="shared" si="1"/>
        <v>27.714400000000005</v>
      </c>
      <c r="H58" s="9">
        <f t="shared" si="2"/>
        <v>74.828880000000012</v>
      </c>
    </row>
    <row r="59" spans="1:8" ht="25.5" x14ac:dyDescent="0.25">
      <c r="A59" s="4" t="s">
        <v>71</v>
      </c>
      <c r="B59" s="4" t="s">
        <v>35</v>
      </c>
      <c r="C59" s="4" t="s">
        <v>84</v>
      </c>
      <c r="D59" s="4">
        <v>1.6</v>
      </c>
      <c r="E59" s="5">
        <v>49.49</v>
      </c>
      <c r="F59" s="9">
        <f t="shared" si="0"/>
        <v>55.42880000000001</v>
      </c>
      <c r="G59" s="9">
        <f t="shared" si="1"/>
        <v>27.714400000000005</v>
      </c>
      <c r="H59" s="9">
        <f t="shared" si="2"/>
        <v>74.828880000000012</v>
      </c>
    </row>
    <row r="60" spans="1:8" ht="25.5" x14ac:dyDescent="0.25">
      <c r="A60" s="2" t="s">
        <v>71</v>
      </c>
      <c r="B60" s="2" t="s">
        <v>85</v>
      </c>
      <c r="C60" s="2" t="s">
        <v>86</v>
      </c>
      <c r="D60" s="2">
        <v>1.4</v>
      </c>
      <c r="E60" s="3">
        <v>49.49</v>
      </c>
      <c r="F60" s="9">
        <f t="shared" si="0"/>
        <v>55.42880000000001</v>
      </c>
      <c r="G60" s="9">
        <f t="shared" si="1"/>
        <v>27.714400000000005</v>
      </c>
      <c r="H60" s="9">
        <f t="shared" si="2"/>
        <v>74.828880000000012</v>
      </c>
    </row>
    <row r="61" spans="1:8" x14ac:dyDescent="0.25">
      <c r="A61" s="4" t="s">
        <v>71</v>
      </c>
      <c r="B61" s="4" t="s">
        <v>85</v>
      </c>
      <c r="C61" s="4" t="s">
        <v>87</v>
      </c>
      <c r="D61" s="4">
        <v>1.6</v>
      </c>
      <c r="E61" s="5">
        <v>49.49</v>
      </c>
      <c r="F61" s="9">
        <f t="shared" si="0"/>
        <v>55.42880000000001</v>
      </c>
      <c r="G61" s="9">
        <f t="shared" si="1"/>
        <v>27.714400000000005</v>
      </c>
      <c r="H61" s="9">
        <f t="shared" si="2"/>
        <v>74.828880000000012</v>
      </c>
    </row>
    <row r="62" spans="1:8" ht="25.5" x14ac:dyDescent="0.25">
      <c r="A62" s="2" t="s">
        <v>71</v>
      </c>
      <c r="B62" s="2" t="s">
        <v>88</v>
      </c>
      <c r="C62" s="2" t="s">
        <v>89</v>
      </c>
      <c r="D62" s="2" t="s">
        <v>18</v>
      </c>
      <c r="E62" s="3">
        <v>49.49</v>
      </c>
      <c r="F62" s="9">
        <f t="shared" si="0"/>
        <v>55.42880000000001</v>
      </c>
      <c r="G62" s="9">
        <f t="shared" si="1"/>
        <v>27.714400000000005</v>
      </c>
      <c r="H62" s="9">
        <f t="shared" si="2"/>
        <v>74.828880000000012</v>
      </c>
    </row>
    <row r="63" spans="1:8" ht="25.5" x14ac:dyDescent="0.25">
      <c r="A63" s="4" t="s">
        <v>71</v>
      </c>
      <c r="B63" s="4" t="s">
        <v>11</v>
      </c>
      <c r="C63" s="4" t="s">
        <v>90</v>
      </c>
      <c r="D63" s="4">
        <v>1.5</v>
      </c>
      <c r="E63" s="5">
        <v>49.49</v>
      </c>
      <c r="F63" s="9">
        <f t="shared" si="0"/>
        <v>55.42880000000001</v>
      </c>
      <c r="G63" s="9">
        <f t="shared" si="1"/>
        <v>27.714400000000005</v>
      </c>
      <c r="H63" s="9">
        <f t="shared" si="2"/>
        <v>74.828880000000012</v>
      </c>
    </row>
    <row r="64" spans="1:8" ht="25.5" x14ac:dyDescent="0.25">
      <c r="A64" s="2" t="s">
        <v>71</v>
      </c>
      <c r="B64" s="2" t="s">
        <v>13</v>
      </c>
      <c r="C64" s="2" t="s">
        <v>91</v>
      </c>
      <c r="D64" s="2">
        <v>1.6</v>
      </c>
      <c r="E64" s="3">
        <v>49.49</v>
      </c>
      <c r="F64" s="9">
        <f t="shared" si="0"/>
        <v>55.42880000000001</v>
      </c>
      <c r="G64" s="9">
        <f t="shared" si="1"/>
        <v>27.714400000000005</v>
      </c>
      <c r="H64" s="9">
        <f t="shared" si="2"/>
        <v>74.828880000000012</v>
      </c>
    </row>
    <row r="65" spans="1:8" ht="51" x14ac:dyDescent="0.25">
      <c r="A65" s="4" t="s">
        <v>71</v>
      </c>
      <c r="B65" s="4" t="s">
        <v>13</v>
      </c>
      <c r="C65" s="4" t="s">
        <v>92</v>
      </c>
      <c r="D65" s="4">
        <v>1.6</v>
      </c>
      <c r="E65" s="5">
        <v>49.49</v>
      </c>
      <c r="F65" s="9">
        <f t="shared" si="0"/>
        <v>55.42880000000001</v>
      </c>
      <c r="G65" s="9">
        <f t="shared" si="1"/>
        <v>27.714400000000005</v>
      </c>
      <c r="H65" s="9">
        <f t="shared" si="2"/>
        <v>74.828880000000012</v>
      </c>
    </row>
    <row r="66" spans="1:8" ht="38.25" x14ac:dyDescent="0.25">
      <c r="A66" s="2" t="s">
        <v>71</v>
      </c>
      <c r="B66" s="2" t="s">
        <v>13</v>
      </c>
      <c r="C66" s="2" t="s">
        <v>93</v>
      </c>
      <c r="D66" s="2">
        <v>1.6</v>
      </c>
      <c r="E66" s="3">
        <v>49.49</v>
      </c>
      <c r="F66" s="9">
        <f t="shared" si="0"/>
        <v>55.42880000000001</v>
      </c>
      <c r="G66" s="9">
        <f t="shared" si="1"/>
        <v>27.714400000000005</v>
      </c>
      <c r="H66" s="9">
        <f t="shared" si="2"/>
        <v>74.828880000000012</v>
      </c>
    </row>
    <row r="67" spans="1:8" ht="25.5" x14ac:dyDescent="0.25">
      <c r="A67" s="4" t="s">
        <v>71</v>
      </c>
      <c r="B67" s="4" t="s">
        <v>13</v>
      </c>
      <c r="C67" s="4" t="s">
        <v>94</v>
      </c>
      <c r="D67" s="4">
        <v>1.6</v>
      </c>
      <c r="E67" s="5">
        <v>49.49</v>
      </c>
      <c r="F67" s="9">
        <f t="shared" ref="F67:F130" si="3">E67*1.12</f>
        <v>55.42880000000001</v>
      </c>
      <c r="G67" s="9">
        <f t="shared" ref="G67:G130" si="4">F67/2</f>
        <v>27.714400000000005</v>
      </c>
      <c r="H67" s="9">
        <f t="shared" ref="H67:H130" si="5">F67*1.35</f>
        <v>74.828880000000012</v>
      </c>
    </row>
    <row r="68" spans="1:8" x14ac:dyDescent="0.25">
      <c r="A68" s="2" t="s">
        <v>71</v>
      </c>
      <c r="B68" s="2" t="s">
        <v>13</v>
      </c>
      <c r="C68" s="2" t="s">
        <v>95</v>
      </c>
      <c r="D68" s="2">
        <v>1.6</v>
      </c>
      <c r="E68" s="3">
        <v>49.49</v>
      </c>
      <c r="F68" s="9">
        <f t="shared" si="3"/>
        <v>55.42880000000001</v>
      </c>
      <c r="G68" s="9">
        <f t="shared" si="4"/>
        <v>27.714400000000005</v>
      </c>
      <c r="H68" s="9">
        <f t="shared" si="5"/>
        <v>74.828880000000012</v>
      </c>
    </row>
    <row r="69" spans="1:8" ht="51" x14ac:dyDescent="0.25">
      <c r="A69" s="4" t="s">
        <v>71</v>
      </c>
      <c r="B69" s="4" t="s">
        <v>13</v>
      </c>
      <c r="C69" s="4" t="s">
        <v>96</v>
      </c>
      <c r="D69" s="4">
        <v>1.4</v>
      </c>
      <c r="E69" s="5">
        <v>49.49</v>
      </c>
      <c r="F69" s="9">
        <f t="shared" si="3"/>
        <v>55.42880000000001</v>
      </c>
      <c r="G69" s="9">
        <f t="shared" si="4"/>
        <v>27.714400000000005</v>
      </c>
      <c r="H69" s="9">
        <f t="shared" si="5"/>
        <v>74.828880000000012</v>
      </c>
    </row>
    <row r="70" spans="1:8" ht="51" x14ac:dyDescent="0.25">
      <c r="A70" s="2" t="s">
        <v>71</v>
      </c>
      <c r="B70" s="2" t="s">
        <v>37</v>
      </c>
      <c r="C70" s="2" t="s">
        <v>97</v>
      </c>
      <c r="D70" s="2">
        <v>1.5</v>
      </c>
      <c r="E70" s="3">
        <v>49.49</v>
      </c>
      <c r="F70" s="9">
        <f t="shared" si="3"/>
        <v>55.42880000000001</v>
      </c>
      <c r="G70" s="9">
        <f t="shared" si="4"/>
        <v>27.714400000000005</v>
      </c>
      <c r="H70" s="9">
        <f t="shared" si="5"/>
        <v>74.828880000000012</v>
      </c>
    </row>
    <row r="71" spans="1:8" ht="25.5" x14ac:dyDescent="0.25">
      <c r="A71" s="4" t="s">
        <v>71</v>
      </c>
      <c r="B71" s="4" t="s">
        <v>37</v>
      </c>
      <c r="C71" s="4" t="s">
        <v>98</v>
      </c>
      <c r="D71" s="4">
        <v>1.5</v>
      </c>
      <c r="E71" s="5">
        <v>49.49</v>
      </c>
      <c r="F71" s="9">
        <f t="shared" si="3"/>
        <v>55.42880000000001</v>
      </c>
      <c r="G71" s="9">
        <f t="shared" si="4"/>
        <v>27.714400000000005</v>
      </c>
      <c r="H71" s="9">
        <f t="shared" si="5"/>
        <v>74.828880000000012</v>
      </c>
    </row>
    <row r="72" spans="1:8" ht="25.5" x14ac:dyDescent="0.25">
      <c r="A72" s="2" t="s">
        <v>71</v>
      </c>
      <c r="B72" s="2" t="s">
        <v>37</v>
      </c>
      <c r="C72" s="2" t="s">
        <v>99</v>
      </c>
      <c r="D72" s="2">
        <v>1.6</v>
      </c>
      <c r="E72" s="3">
        <v>49.49</v>
      </c>
      <c r="F72" s="9">
        <f t="shared" si="3"/>
        <v>55.42880000000001</v>
      </c>
      <c r="G72" s="9">
        <f t="shared" si="4"/>
        <v>27.714400000000005</v>
      </c>
      <c r="H72" s="9">
        <f t="shared" si="5"/>
        <v>74.828880000000012</v>
      </c>
    </row>
    <row r="73" spans="1:8" ht="25.5" x14ac:dyDescent="0.25">
      <c r="A73" s="4" t="s">
        <v>71</v>
      </c>
      <c r="B73" s="4" t="s">
        <v>37</v>
      </c>
      <c r="C73" s="4" t="s">
        <v>100</v>
      </c>
      <c r="D73" s="4">
        <v>1.4</v>
      </c>
      <c r="E73" s="5">
        <v>49.49</v>
      </c>
      <c r="F73" s="9">
        <f t="shared" si="3"/>
        <v>55.42880000000001</v>
      </c>
      <c r="G73" s="9">
        <f t="shared" si="4"/>
        <v>27.714400000000005</v>
      </c>
      <c r="H73" s="9">
        <f t="shared" si="5"/>
        <v>74.828880000000012</v>
      </c>
    </row>
    <row r="74" spans="1:8" ht="25.5" x14ac:dyDescent="0.25">
      <c r="A74" s="2" t="s">
        <v>71</v>
      </c>
      <c r="B74" s="2" t="s">
        <v>37</v>
      </c>
      <c r="C74" s="2" t="s">
        <v>101</v>
      </c>
      <c r="D74" s="2">
        <v>1.6</v>
      </c>
      <c r="E74" s="3">
        <v>49.49</v>
      </c>
      <c r="F74" s="9">
        <f t="shared" si="3"/>
        <v>55.42880000000001</v>
      </c>
      <c r="G74" s="9">
        <f t="shared" si="4"/>
        <v>27.714400000000005</v>
      </c>
      <c r="H74" s="9">
        <f t="shared" si="5"/>
        <v>74.828880000000012</v>
      </c>
    </row>
    <row r="75" spans="1:8" ht="25.5" x14ac:dyDescent="0.25">
      <c r="A75" s="4" t="s">
        <v>71</v>
      </c>
      <c r="B75" s="4" t="s">
        <v>37</v>
      </c>
      <c r="C75" s="4" t="s">
        <v>102</v>
      </c>
      <c r="D75" s="4">
        <v>1.6</v>
      </c>
      <c r="E75" s="5">
        <v>49.49</v>
      </c>
      <c r="F75" s="9">
        <f t="shared" si="3"/>
        <v>55.42880000000001</v>
      </c>
      <c r="G75" s="9">
        <f t="shared" si="4"/>
        <v>27.714400000000005</v>
      </c>
      <c r="H75" s="9">
        <f t="shared" si="5"/>
        <v>74.828880000000012</v>
      </c>
    </row>
    <row r="76" spans="1:8" ht="38.25" x14ac:dyDescent="0.25">
      <c r="A76" s="2" t="s">
        <v>71</v>
      </c>
      <c r="B76" s="2" t="s">
        <v>103</v>
      </c>
      <c r="C76" s="2" t="s">
        <v>104</v>
      </c>
      <c r="D76" s="2">
        <v>1.4</v>
      </c>
      <c r="E76" s="3">
        <v>49.49</v>
      </c>
      <c r="F76" s="9">
        <f t="shared" si="3"/>
        <v>55.42880000000001</v>
      </c>
      <c r="G76" s="9">
        <f t="shared" si="4"/>
        <v>27.714400000000005</v>
      </c>
      <c r="H76" s="9">
        <f t="shared" si="5"/>
        <v>74.828880000000012</v>
      </c>
    </row>
    <row r="77" spans="1:8" ht="25.5" x14ac:dyDescent="0.25">
      <c r="A77" s="4" t="s">
        <v>71</v>
      </c>
      <c r="B77" s="4" t="s">
        <v>103</v>
      </c>
      <c r="C77" s="4" t="s">
        <v>105</v>
      </c>
      <c r="D77" s="4">
        <v>1.2</v>
      </c>
      <c r="E77" s="5">
        <v>49.49</v>
      </c>
      <c r="F77" s="9">
        <f t="shared" si="3"/>
        <v>55.42880000000001</v>
      </c>
      <c r="G77" s="9">
        <f t="shared" si="4"/>
        <v>27.714400000000005</v>
      </c>
      <c r="H77" s="9">
        <f t="shared" si="5"/>
        <v>74.828880000000012</v>
      </c>
    </row>
    <row r="78" spans="1:8" ht="38.25" x14ac:dyDescent="0.25">
      <c r="A78" s="2" t="s">
        <v>71</v>
      </c>
      <c r="B78" s="2" t="s">
        <v>103</v>
      </c>
      <c r="C78" s="2" t="s">
        <v>106</v>
      </c>
      <c r="D78" s="2">
        <v>1.6</v>
      </c>
      <c r="E78" s="3">
        <v>49.49</v>
      </c>
      <c r="F78" s="9">
        <f t="shared" si="3"/>
        <v>55.42880000000001</v>
      </c>
      <c r="G78" s="9">
        <f t="shared" si="4"/>
        <v>27.714400000000005</v>
      </c>
      <c r="H78" s="9">
        <f t="shared" si="5"/>
        <v>74.828880000000012</v>
      </c>
    </row>
    <row r="79" spans="1:8" ht="38.25" x14ac:dyDescent="0.25">
      <c r="A79" s="4" t="s">
        <v>71</v>
      </c>
      <c r="B79" s="4" t="s">
        <v>39</v>
      </c>
      <c r="C79" s="4" t="s">
        <v>107</v>
      </c>
      <c r="D79" s="4">
        <v>1.2</v>
      </c>
      <c r="E79" s="5">
        <v>49.49</v>
      </c>
      <c r="F79" s="9">
        <f t="shared" si="3"/>
        <v>55.42880000000001</v>
      </c>
      <c r="G79" s="9">
        <f t="shared" si="4"/>
        <v>27.714400000000005</v>
      </c>
      <c r="H79" s="9">
        <f t="shared" si="5"/>
        <v>74.828880000000012</v>
      </c>
    </row>
    <row r="80" spans="1:8" ht="38.25" x14ac:dyDescent="0.25">
      <c r="A80" s="2" t="s">
        <v>71</v>
      </c>
      <c r="B80" s="2" t="s">
        <v>39</v>
      </c>
      <c r="C80" s="2" t="s">
        <v>108</v>
      </c>
      <c r="D80" s="2">
        <v>1.4</v>
      </c>
      <c r="E80" s="3">
        <v>49.49</v>
      </c>
      <c r="F80" s="9">
        <f t="shared" si="3"/>
        <v>55.42880000000001</v>
      </c>
      <c r="G80" s="9">
        <f t="shared" si="4"/>
        <v>27.714400000000005</v>
      </c>
      <c r="H80" s="9">
        <f t="shared" si="5"/>
        <v>74.828880000000012</v>
      </c>
    </row>
    <row r="81" spans="1:8" ht="38.25" x14ac:dyDescent="0.25">
      <c r="A81" s="4" t="s">
        <v>71</v>
      </c>
      <c r="B81" s="4" t="s">
        <v>39</v>
      </c>
      <c r="C81" s="4" t="s">
        <v>109</v>
      </c>
      <c r="D81" s="4">
        <v>1.6</v>
      </c>
      <c r="E81" s="5">
        <v>49.49</v>
      </c>
      <c r="F81" s="9">
        <f t="shared" si="3"/>
        <v>55.42880000000001</v>
      </c>
      <c r="G81" s="9">
        <f t="shared" si="4"/>
        <v>27.714400000000005</v>
      </c>
      <c r="H81" s="9">
        <f t="shared" si="5"/>
        <v>74.828880000000012</v>
      </c>
    </row>
    <row r="82" spans="1:8" ht="38.25" x14ac:dyDescent="0.25">
      <c r="A82" s="2" t="s">
        <v>71</v>
      </c>
      <c r="B82" s="2" t="s">
        <v>39</v>
      </c>
      <c r="C82" s="2" t="s">
        <v>110</v>
      </c>
      <c r="D82" s="2">
        <v>1.2</v>
      </c>
      <c r="E82" s="3">
        <v>49.49</v>
      </c>
      <c r="F82" s="9">
        <f t="shared" si="3"/>
        <v>55.42880000000001</v>
      </c>
      <c r="G82" s="9">
        <f t="shared" si="4"/>
        <v>27.714400000000005</v>
      </c>
      <c r="H82" s="9">
        <f t="shared" si="5"/>
        <v>74.828880000000012</v>
      </c>
    </row>
    <row r="83" spans="1:8" ht="25.5" x14ac:dyDescent="0.25">
      <c r="A83" s="4" t="s">
        <v>71</v>
      </c>
      <c r="B83" s="4" t="s">
        <v>19</v>
      </c>
      <c r="C83" s="4" t="s">
        <v>111</v>
      </c>
      <c r="D83" s="4">
        <v>1.5</v>
      </c>
      <c r="E83" s="5">
        <v>49.49</v>
      </c>
      <c r="F83" s="9">
        <f t="shared" si="3"/>
        <v>55.42880000000001</v>
      </c>
      <c r="G83" s="9">
        <f t="shared" si="4"/>
        <v>27.714400000000005</v>
      </c>
      <c r="H83" s="9">
        <f t="shared" si="5"/>
        <v>74.828880000000012</v>
      </c>
    </row>
    <row r="84" spans="1:8" x14ac:dyDescent="0.25">
      <c r="A84" s="2" t="s">
        <v>71</v>
      </c>
      <c r="B84" s="2" t="s">
        <v>21</v>
      </c>
      <c r="C84" s="2" t="s">
        <v>112</v>
      </c>
      <c r="D84" s="2">
        <v>1.5</v>
      </c>
      <c r="E84" s="3">
        <v>49.49</v>
      </c>
      <c r="F84" s="9">
        <f t="shared" si="3"/>
        <v>55.42880000000001</v>
      </c>
      <c r="G84" s="9">
        <f t="shared" si="4"/>
        <v>27.714400000000005</v>
      </c>
      <c r="H84" s="9">
        <f t="shared" si="5"/>
        <v>74.828880000000012</v>
      </c>
    </row>
    <row r="85" spans="1:8" ht="25.5" x14ac:dyDescent="0.25">
      <c r="A85" s="4" t="s">
        <v>71</v>
      </c>
      <c r="B85" s="4" t="s">
        <v>23</v>
      </c>
      <c r="C85" s="4" t="s">
        <v>113</v>
      </c>
      <c r="D85" s="4">
        <v>1.6</v>
      </c>
      <c r="E85" s="5">
        <v>49.49</v>
      </c>
      <c r="F85" s="9">
        <f t="shared" si="3"/>
        <v>55.42880000000001</v>
      </c>
      <c r="G85" s="9">
        <f t="shared" si="4"/>
        <v>27.714400000000005</v>
      </c>
      <c r="H85" s="9">
        <f t="shared" si="5"/>
        <v>74.828880000000012</v>
      </c>
    </row>
    <row r="86" spans="1:8" x14ac:dyDescent="0.25">
      <c r="A86" s="2" t="s">
        <v>71</v>
      </c>
      <c r="B86" s="2" t="s">
        <v>25</v>
      </c>
      <c r="C86" s="2" t="s">
        <v>114</v>
      </c>
      <c r="D86" s="2">
        <v>1.4</v>
      </c>
      <c r="E86" s="3">
        <v>49.49</v>
      </c>
      <c r="F86" s="9">
        <f t="shared" si="3"/>
        <v>55.42880000000001</v>
      </c>
      <c r="G86" s="9">
        <f t="shared" si="4"/>
        <v>27.714400000000005</v>
      </c>
      <c r="H86" s="9">
        <f t="shared" si="5"/>
        <v>74.828880000000012</v>
      </c>
    </row>
    <row r="87" spans="1:8" ht="25.5" x14ac:dyDescent="0.25">
      <c r="A87" s="4" t="s">
        <v>71</v>
      </c>
      <c r="B87" s="4" t="s">
        <v>25</v>
      </c>
      <c r="C87" s="4" t="s">
        <v>115</v>
      </c>
      <c r="D87" s="4">
        <v>1.4</v>
      </c>
      <c r="E87" s="5">
        <v>49.49</v>
      </c>
      <c r="F87" s="9">
        <f t="shared" si="3"/>
        <v>55.42880000000001</v>
      </c>
      <c r="G87" s="9">
        <f t="shared" si="4"/>
        <v>27.714400000000005</v>
      </c>
      <c r="H87" s="9">
        <f t="shared" si="5"/>
        <v>74.828880000000012</v>
      </c>
    </row>
    <row r="88" spans="1:8" ht="25.5" x14ac:dyDescent="0.25">
      <c r="A88" s="2" t="s">
        <v>71</v>
      </c>
      <c r="B88" s="2" t="s">
        <v>25</v>
      </c>
      <c r="C88" s="2" t="s">
        <v>116</v>
      </c>
      <c r="D88" s="2">
        <v>1</v>
      </c>
      <c r="E88" s="3">
        <v>49.49</v>
      </c>
      <c r="F88" s="9">
        <f t="shared" si="3"/>
        <v>55.42880000000001</v>
      </c>
      <c r="G88" s="9">
        <f t="shared" si="4"/>
        <v>27.714400000000005</v>
      </c>
      <c r="H88" s="9">
        <f t="shared" si="5"/>
        <v>74.828880000000012</v>
      </c>
    </row>
    <row r="89" spans="1:8" ht="25.5" x14ac:dyDescent="0.25">
      <c r="A89" s="4" t="s">
        <v>71</v>
      </c>
      <c r="B89" s="4" t="s">
        <v>25</v>
      </c>
      <c r="C89" s="4" t="s">
        <v>117</v>
      </c>
      <c r="D89" s="4">
        <v>1</v>
      </c>
      <c r="E89" s="5">
        <v>49.49</v>
      </c>
      <c r="F89" s="9">
        <f t="shared" si="3"/>
        <v>55.42880000000001</v>
      </c>
      <c r="G89" s="9">
        <f t="shared" si="4"/>
        <v>27.714400000000005</v>
      </c>
      <c r="H89" s="9">
        <f t="shared" si="5"/>
        <v>74.828880000000012</v>
      </c>
    </row>
    <row r="90" spans="1:8" x14ac:dyDescent="0.25">
      <c r="A90" s="2" t="s">
        <v>118</v>
      </c>
      <c r="B90" s="2" t="s">
        <v>72</v>
      </c>
      <c r="C90" s="2" t="s">
        <v>119</v>
      </c>
      <c r="D90" s="2">
        <v>1.6</v>
      </c>
      <c r="E90" s="3">
        <v>52.36</v>
      </c>
      <c r="F90" s="9">
        <f t="shared" si="3"/>
        <v>58.643200000000007</v>
      </c>
      <c r="G90" s="9">
        <f t="shared" si="4"/>
        <v>29.321600000000004</v>
      </c>
      <c r="H90" s="9">
        <f t="shared" si="5"/>
        <v>79.168320000000008</v>
      </c>
    </row>
    <row r="91" spans="1:8" x14ac:dyDescent="0.25">
      <c r="A91" s="4" t="s">
        <v>118</v>
      </c>
      <c r="B91" s="4" t="s">
        <v>33</v>
      </c>
      <c r="C91" s="4" t="s">
        <v>120</v>
      </c>
      <c r="D91" s="4">
        <v>1.8</v>
      </c>
      <c r="E91" s="5">
        <v>52.36</v>
      </c>
      <c r="F91" s="9">
        <f t="shared" si="3"/>
        <v>58.643200000000007</v>
      </c>
      <c r="G91" s="9">
        <f t="shared" si="4"/>
        <v>29.321600000000004</v>
      </c>
      <c r="H91" s="9">
        <f t="shared" si="5"/>
        <v>79.168320000000008</v>
      </c>
    </row>
    <row r="92" spans="1:8" ht="25.5" x14ac:dyDescent="0.25">
      <c r="A92" s="2" t="s">
        <v>118</v>
      </c>
      <c r="B92" s="2" t="s">
        <v>33</v>
      </c>
      <c r="C92" s="2" t="s">
        <v>121</v>
      </c>
      <c r="D92" s="2">
        <v>1.6</v>
      </c>
      <c r="E92" s="3">
        <v>52.36</v>
      </c>
      <c r="F92" s="9">
        <f t="shared" si="3"/>
        <v>58.643200000000007</v>
      </c>
      <c r="G92" s="9">
        <f t="shared" si="4"/>
        <v>29.321600000000004</v>
      </c>
      <c r="H92" s="9">
        <f t="shared" si="5"/>
        <v>79.168320000000008</v>
      </c>
    </row>
    <row r="93" spans="1:8" ht="51" x14ac:dyDescent="0.25">
      <c r="A93" s="4" t="s">
        <v>118</v>
      </c>
      <c r="B93" s="4" t="s">
        <v>49</v>
      </c>
      <c r="C93" s="4" t="s">
        <v>122</v>
      </c>
      <c r="D93" s="4">
        <v>1.8</v>
      </c>
      <c r="E93" s="5">
        <v>52.36</v>
      </c>
      <c r="F93" s="9">
        <f t="shared" si="3"/>
        <v>58.643200000000007</v>
      </c>
      <c r="G93" s="9">
        <f t="shared" si="4"/>
        <v>29.321600000000004</v>
      </c>
      <c r="H93" s="9">
        <f t="shared" si="5"/>
        <v>79.168320000000008</v>
      </c>
    </row>
    <row r="94" spans="1:8" ht="25.5" x14ac:dyDescent="0.25">
      <c r="A94" s="2" t="s">
        <v>118</v>
      </c>
      <c r="B94" s="2" t="s">
        <v>49</v>
      </c>
      <c r="C94" s="2" t="s">
        <v>123</v>
      </c>
      <c r="D94" s="2">
        <v>1.5</v>
      </c>
      <c r="E94" s="3">
        <v>52.36</v>
      </c>
      <c r="F94" s="9">
        <f t="shared" si="3"/>
        <v>58.643200000000007</v>
      </c>
      <c r="G94" s="9">
        <f t="shared" si="4"/>
        <v>29.321600000000004</v>
      </c>
      <c r="H94" s="9">
        <f t="shared" si="5"/>
        <v>79.168320000000008</v>
      </c>
    </row>
    <row r="95" spans="1:8" ht="25.5" x14ac:dyDescent="0.25">
      <c r="A95" s="4" t="s">
        <v>118</v>
      </c>
      <c r="B95" s="4" t="s">
        <v>124</v>
      </c>
      <c r="C95" s="4" t="s">
        <v>125</v>
      </c>
      <c r="D95" s="4">
        <v>1.8</v>
      </c>
      <c r="E95" s="5">
        <v>52.36</v>
      </c>
      <c r="F95" s="9">
        <f t="shared" si="3"/>
        <v>58.643200000000007</v>
      </c>
      <c r="G95" s="9">
        <f t="shared" si="4"/>
        <v>29.321600000000004</v>
      </c>
      <c r="H95" s="9">
        <f t="shared" si="5"/>
        <v>79.168320000000008</v>
      </c>
    </row>
    <row r="96" spans="1:8" ht="25.5" x14ac:dyDescent="0.25">
      <c r="A96" s="2" t="s">
        <v>118</v>
      </c>
      <c r="B96" s="2" t="s">
        <v>88</v>
      </c>
      <c r="C96" s="2" t="s">
        <v>126</v>
      </c>
      <c r="D96" s="2">
        <v>1.8</v>
      </c>
      <c r="E96" s="3">
        <v>52.36</v>
      </c>
      <c r="F96" s="9">
        <f t="shared" si="3"/>
        <v>58.643200000000007</v>
      </c>
      <c r="G96" s="9">
        <f t="shared" si="4"/>
        <v>29.321600000000004</v>
      </c>
      <c r="H96" s="9">
        <f t="shared" si="5"/>
        <v>79.168320000000008</v>
      </c>
    </row>
    <row r="97" spans="1:8" ht="25.5" x14ac:dyDescent="0.25">
      <c r="A97" s="4" t="s">
        <v>118</v>
      </c>
      <c r="B97" s="4" t="s">
        <v>88</v>
      </c>
      <c r="C97" s="4" t="s">
        <v>127</v>
      </c>
      <c r="D97" s="4">
        <v>1.5</v>
      </c>
      <c r="E97" s="5">
        <v>52.36</v>
      </c>
      <c r="F97" s="9">
        <f t="shared" si="3"/>
        <v>58.643200000000007</v>
      </c>
      <c r="G97" s="9">
        <f t="shared" si="4"/>
        <v>29.321600000000004</v>
      </c>
      <c r="H97" s="9">
        <f t="shared" si="5"/>
        <v>79.168320000000008</v>
      </c>
    </row>
    <row r="98" spans="1:8" ht="25.5" x14ac:dyDescent="0.25">
      <c r="A98" s="2" t="s">
        <v>118</v>
      </c>
      <c r="B98" s="2" t="s">
        <v>13</v>
      </c>
      <c r="C98" s="2" t="s">
        <v>128</v>
      </c>
      <c r="D98" s="2">
        <v>1.6</v>
      </c>
      <c r="E98" s="3">
        <v>52.36</v>
      </c>
      <c r="F98" s="9">
        <f t="shared" si="3"/>
        <v>58.643200000000007</v>
      </c>
      <c r="G98" s="9">
        <f t="shared" si="4"/>
        <v>29.321600000000004</v>
      </c>
      <c r="H98" s="9">
        <f t="shared" si="5"/>
        <v>79.168320000000008</v>
      </c>
    </row>
    <row r="99" spans="1:8" ht="38.25" x14ac:dyDescent="0.25">
      <c r="A99" s="4" t="s">
        <v>118</v>
      </c>
      <c r="B99" s="4" t="s">
        <v>13</v>
      </c>
      <c r="C99" s="4" t="s">
        <v>129</v>
      </c>
      <c r="D99" s="4" t="s">
        <v>18</v>
      </c>
      <c r="E99" s="5">
        <v>52.36</v>
      </c>
      <c r="F99" s="9">
        <f t="shared" si="3"/>
        <v>58.643200000000007</v>
      </c>
      <c r="G99" s="9">
        <f t="shared" si="4"/>
        <v>29.321600000000004</v>
      </c>
      <c r="H99" s="9">
        <f t="shared" si="5"/>
        <v>79.168320000000008</v>
      </c>
    </row>
    <row r="100" spans="1:8" x14ac:dyDescent="0.25">
      <c r="A100" s="2" t="s">
        <v>118</v>
      </c>
      <c r="B100" s="2" t="s">
        <v>13</v>
      </c>
      <c r="C100" s="2" t="s">
        <v>130</v>
      </c>
      <c r="D100" s="2" t="s">
        <v>18</v>
      </c>
      <c r="E100" s="3">
        <v>52.36</v>
      </c>
      <c r="F100" s="9">
        <f t="shared" si="3"/>
        <v>58.643200000000007</v>
      </c>
      <c r="G100" s="9">
        <f t="shared" si="4"/>
        <v>29.321600000000004</v>
      </c>
      <c r="H100" s="9">
        <f t="shared" si="5"/>
        <v>79.168320000000008</v>
      </c>
    </row>
    <row r="101" spans="1:8" x14ac:dyDescent="0.25">
      <c r="A101" s="4" t="s">
        <v>118</v>
      </c>
      <c r="B101" s="4" t="s">
        <v>13</v>
      </c>
      <c r="C101" s="4" t="s">
        <v>131</v>
      </c>
      <c r="D101" s="4">
        <v>1.8</v>
      </c>
      <c r="E101" s="5">
        <v>52.36</v>
      </c>
      <c r="F101" s="9">
        <f t="shared" si="3"/>
        <v>58.643200000000007</v>
      </c>
      <c r="G101" s="9">
        <f t="shared" si="4"/>
        <v>29.321600000000004</v>
      </c>
      <c r="H101" s="9">
        <f t="shared" si="5"/>
        <v>79.168320000000008</v>
      </c>
    </row>
    <row r="102" spans="1:8" ht="25.5" x14ac:dyDescent="0.25">
      <c r="A102" s="2" t="s">
        <v>118</v>
      </c>
      <c r="B102" s="2" t="s">
        <v>13</v>
      </c>
      <c r="C102" s="2" t="s">
        <v>132</v>
      </c>
      <c r="D102" s="2">
        <v>1.6</v>
      </c>
      <c r="E102" s="3">
        <v>52.36</v>
      </c>
      <c r="F102" s="9">
        <f t="shared" si="3"/>
        <v>58.643200000000007</v>
      </c>
      <c r="G102" s="9">
        <f t="shared" si="4"/>
        <v>29.321600000000004</v>
      </c>
      <c r="H102" s="9">
        <f t="shared" si="5"/>
        <v>79.168320000000008</v>
      </c>
    </row>
    <row r="103" spans="1:8" ht="25.5" x14ac:dyDescent="0.25">
      <c r="A103" s="4" t="s">
        <v>118</v>
      </c>
      <c r="B103" s="4" t="s">
        <v>37</v>
      </c>
      <c r="C103" s="4" t="s">
        <v>133</v>
      </c>
      <c r="D103" s="4">
        <v>1.8</v>
      </c>
      <c r="E103" s="5">
        <v>52.36</v>
      </c>
      <c r="F103" s="9">
        <f t="shared" si="3"/>
        <v>58.643200000000007</v>
      </c>
      <c r="G103" s="9">
        <f t="shared" si="4"/>
        <v>29.321600000000004</v>
      </c>
      <c r="H103" s="9">
        <f t="shared" si="5"/>
        <v>79.168320000000008</v>
      </c>
    </row>
    <row r="104" spans="1:8" ht="25.5" x14ac:dyDescent="0.25">
      <c r="A104" s="2" t="s">
        <v>118</v>
      </c>
      <c r="B104" s="2" t="s">
        <v>39</v>
      </c>
      <c r="C104" s="2" t="s">
        <v>134</v>
      </c>
      <c r="D104" s="2">
        <v>1.6</v>
      </c>
      <c r="E104" s="3">
        <v>52.36</v>
      </c>
      <c r="F104" s="9">
        <f t="shared" si="3"/>
        <v>58.643200000000007</v>
      </c>
      <c r="G104" s="9">
        <f t="shared" si="4"/>
        <v>29.321600000000004</v>
      </c>
      <c r="H104" s="9">
        <f t="shared" si="5"/>
        <v>79.168320000000008</v>
      </c>
    </row>
    <row r="105" spans="1:8" ht="25.5" x14ac:dyDescent="0.25">
      <c r="A105" s="4" t="s">
        <v>118</v>
      </c>
      <c r="B105" s="4" t="s">
        <v>21</v>
      </c>
      <c r="C105" s="4" t="s">
        <v>135</v>
      </c>
      <c r="D105" s="4">
        <v>1.8</v>
      </c>
      <c r="E105" s="5">
        <v>52.36</v>
      </c>
      <c r="F105" s="9">
        <f t="shared" si="3"/>
        <v>58.643200000000007</v>
      </c>
      <c r="G105" s="9">
        <f t="shared" si="4"/>
        <v>29.321600000000004</v>
      </c>
      <c r="H105" s="9">
        <f t="shared" si="5"/>
        <v>79.168320000000008</v>
      </c>
    </row>
    <row r="106" spans="1:8" ht="25.5" x14ac:dyDescent="0.25">
      <c r="A106" s="2" t="s">
        <v>118</v>
      </c>
      <c r="B106" s="2" t="s">
        <v>21</v>
      </c>
      <c r="C106" s="2" t="s">
        <v>136</v>
      </c>
      <c r="D106" s="2">
        <v>1.8</v>
      </c>
      <c r="E106" s="3">
        <v>52.36</v>
      </c>
      <c r="F106" s="9">
        <f t="shared" si="3"/>
        <v>58.643200000000007</v>
      </c>
      <c r="G106" s="9">
        <f t="shared" si="4"/>
        <v>29.321600000000004</v>
      </c>
      <c r="H106" s="9">
        <f t="shared" si="5"/>
        <v>79.168320000000008</v>
      </c>
    </row>
    <row r="107" spans="1:8" x14ac:dyDescent="0.25">
      <c r="A107" s="4" t="s">
        <v>118</v>
      </c>
      <c r="B107" s="4" t="s">
        <v>21</v>
      </c>
      <c r="C107" s="4" t="s">
        <v>137</v>
      </c>
      <c r="D107" s="4">
        <v>1.8</v>
      </c>
      <c r="E107" s="5">
        <v>52.36</v>
      </c>
      <c r="F107" s="9">
        <f t="shared" si="3"/>
        <v>58.643200000000007</v>
      </c>
      <c r="G107" s="9">
        <f t="shared" si="4"/>
        <v>29.321600000000004</v>
      </c>
      <c r="H107" s="9">
        <f t="shared" si="5"/>
        <v>79.168320000000008</v>
      </c>
    </row>
    <row r="108" spans="1:8" ht="38.25" x14ac:dyDescent="0.25">
      <c r="A108" s="2" t="s">
        <v>118</v>
      </c>
      <c r="B108" s="2" t="s">
        <v>23</v>
      </c>
      <c r="C108" s="2" t="s">
        <v>138</v>
      </c>
      <c r="D108" s="2">
        <v>1.7</v>
      </c>
      <c r="E108" s="3">
        <v>52.36</v>
      </c>
      <c r="F108" s="9">
        <f t="shared" si="3"/>
        <v>58.643200000000007</v>
      </c>
      <c r="G108" s="9">
        <f t="shared" si="4"/>
        <v>29.321600000000004</v>
      </c>
      <c r="H108" s="9">
        <f t="shared" si="5"/>
        <v>79.168320000000008</v>
      </c>
    </row>
    <row r="109" spans="1:8" ht="38.25" x14ac:dyDescent="0.25">
      <c r="A109" s="4" t="s">
        <v>118</v>
      </c>
      <c r="B109" s="4" t="s">
        <v>23</v>
      </c>
      <c r="C109" s="4" t="s">
        <v>139</v>
      </c>
      <c r="D109" s="4">
        <v>1.8</v>
      </c>
      <c r="E109" s="5">
        <v>52.36</v>
      </c>
      <c r="F109" s="9">
        <f t="shared" si="3"/>
        <v>58.643200000000007</v>
      </c>
      <c r="G109" s="9">
        <f t="shared" si="4"/>
        <v>29.321600000000004</v>
      </c>
      <c r="H109" s="9">
        <f t="shared" si="5"/>
        <v>79.168320000000008</v>
      </c>
    </row>
    <row r="110" spans="1:8" ht="38.25" x14ac:dyDescent="0.25">
      <c r="A110" s="2" t="s">
        <v>118</v>
      </c>
      <c r="B110" s="2" t="s">
        <v>23</v>
      </c>
      <c r="C110" s="2" t="s">
        <v>140</v>
      </c>
      <c r="D110" s="2">
        <v>1.6</v>
      </c>
      <c r="E110" s="3">
        <v>52.36</v>
      </c>
      <c r="F110" s="9">
        <f t="shared" si="3"/>
        <v>58.643200000000007</v>
      </c>
      <c r="G110" s="9">
        <f t="shared" si="4"/>
        <v>29.321600000000004</v>
      </c>
      <c r="H110" s="9">
        <f t="shared" si="5"/>
        <v>79.168320000000008</v>
      </c>
    </row>
    <row r="111" spans="1:8" ht="25.5" x14ac:dyDescent="0.25">
      <c r="A111" s="4" t="s">
        <v>118</v>
      </c>
      <c r="B111" s="4" t="s">
        <v>23</v>
      </c>
      <c r="C111" s="4" t="s">
        <v>141</v>
      </c>
      <c r="D111" s="4">
        <v>1.6</v>
      </c>
      <c r="E111" s="5">
        <v>52.36</v>
      </c>
      <c r="F111" s="9">
        <f t="shared" si="3"/>
        <v>58.643200000000007</v>
      </c>
      <c r="G111" s="9">
        <f t="shared" si="4"/>
        <v>29.321600000000004</v>
      </c>
      <c r="H111" s="9">
        <f t="shared" si="5"/>
        <v>79.168320000000008</v>
      </c>
    </row>
    <row r="112" spans="1:8" ht="25.5" x14ac:dyDescent="0.25">
      <c r="A112" s="2" t="s">
        <v>118</v>
      </c>
      <c r="B112" s="2" t="s">
        <v>23</v>
      </c>
      <c r="C112" s="2" t="s">
        <v>142</v>
      </c>
      <c r="D112" s="2">
        <v>1.4</v>
      </c>
      <c r="E112" s="3">
        <v>52.36</v>
      </c>
      <c r="F112" s="9">
        <f t="shared" si="3"/>
        <v>58.643200000000007</v>
      </c>
      <c r="G112" s="9">
        <f t="shared" si="4"/>
        <v>29.321600000000004</v>
      </c>
      <c r="H112" s="9">
        <f t="shared" si="5"/>
        <v>79.168320000000008</v>
      </c>
    </row>
    <row r="113" spans="1:8" ht="38.25" x14ac:dyDescent="0.25">
      <c r="A113" s="4" t="s">
        <v>118</v>
      </c>
      <c r="B113" s="4" t="s">
        <v>23</v>
      </c>
      <c r="C113" s="4" t="s">
        <v>143</v>
      </c>
      <c r="D113" s="4">
        <v>1.4</v>
      </c>
      <c r="E113" s="5">
        <v>52.36</v>
      </c>
      <c r="F113" s="9">
        <f t="shared" si="3"/>
        <v>58.643200000000007</v>
      </c>
      <c r="G113" s="9">
        <f t="shared" si="4"/>
        <v>29.321600000000004</v>
      </c>
      <c r="H113" s="9">
        <f t="shared" si="5"/>
        <v>79.168320000000008</v>
      </c>
    </row>
    <row r="114" spans="1:8" ht="38.25" x14ac:dyDescent="0.25">
      <c r="A114" s="2" t="s">
        <v>118</v>
      </c>
      <c r="B114" s="2" t="s">
        <v>23</v>
      </c>
      <c r="C114" s="2" t="s">
        <v>144</v>
      </c>
      <c r="D114" s="2" t="s">
        <v>18</v>
      </c>
      <c r="E114" s="3">
        <v>52.36</v>
      </c>
      <c r="F114" s="9">
        <f t="shared" si="3"/>
        <v>58.643200000000007</v>
      </c>
      <c r="G114" s="9">
        <f t="shared" si="4"/>
        <v>29.321600000000004</v>
      </c>
      <c r="H114" s="9">
        <f t="shared" si="5"/>
        <v>79.168320000000008</v>
      </c>
    </row>
    <row r="115" spans="1:8" ht="38.25" x14ac:dyDescent="0.25">
      <c r="A115" s="4" t="s">
        <v>118</v>
      </c>
      <c r="B115" s="4" t="s">
        <v>23</v>
      </c>
      <c r="C115" s="4" t="s">
        <v>145</v>
      </c>
      <c r="D115" s="4">
        <v>1.8</v>
      </c>
      <c r="E115" s="5">
        <v>52.36</v>
      </c>
      <c r="F115" s="9">
        <f t="shared" si="3"/>
        <v>58.643200000000007</v>
      </c>
      <c r="G115" s="9">
        <f t="shared" si="4"/>
        <v>29.321600000000004</v>
      </c>
      <c r="H115" s="9">
        <f t="shared" si="5"/>
        <v>79.168320000000008</v>
      </c>
    </row>
    <row r="116" spans="1:8" ht="25.5" x14ac:dyDescent="0.25">
      <c r="A116" s="2" t="s">
        <v>118</v>
      </c>
      <c r="B116" s="2" t="s">
        <v>23</v>
      </c>
      <c r="C116" s="2" t="s">
        <v>146</v>
      </c>
      <c r="D116" s="2">
        <v>1.8</v>
      </c>
      <c r="E116" s="3">
        <v>52.36</v>
      </c>
      <c r="F116" s="9">
        <f t="shared" si="3"/>
        <v>58.643200000000007</v>
      </c>
      <c r="G116" s="9">
        <f t="shared" si="4"/>
        <v>29.321600000000004</v>
      </c>
      <c r="H116" s="9">
        <f t="shared" si="5"/>
        <v>79.168320000000008</v>
      </c>
    </row>
    <row r="117" spans="1:8" ht="25.5" x14ac:dyDescent="0.25">
      <c r="A117" s="4" t="s">
        <v>118</v>
      </c>
      <c r="B117" s="4" t="s">
        <v>25</v>
      </c>
      <c r="C117" s="4" t="s">
        <v>147</v>
      </c>
      <c r="D117" s="4">
        <v>1.4</v>
      </c>
      <c r="E117" s="5">
        <v>52.36</v>
      </c>
      <c r="F117" s="9">
        <f t="shared" si="3"/>
        <v>58.643200000000007</v>
      </c>
      <c r="G117" s="9">
        <f t="shared" si="4"/>
        <v>29.321600000000004</v>
      </c>
      <c r="H117" s="9">
        <f t="shared" si="5"/>
        <v>79.168320000000008</v>
      </c>
    </row>
    <row r="118" spans="1:8" ht="25.5" x14ac:dyDescent="0.25">
      <c r="A118" s="2" t="s">
        <v>118</v>
      </c>
      <c r="B118" s="2" t="s">
        <v>25</v>
      </c>
      <c r="C118" s="2" t="s">
        <v>148</v>
      </c>
      <c r="D118" s="2">
        <v>1.6</v>
      </c>
      <c r="E118" s="3">
        <v>52.36</v>
      </c>
      <c r="F118" s="9">
        <f t="shared" si="3"/>
        <v>58.643200000000007</v>
      </c>
      <c r="G118" s="9">
        <f t="shared" si="4"/>
        <v>29.321600000000004</v>
      </c>
      <c r="H118" s="9">
        <f t="shared" si="5"/>
        <v>79.168320000000008</v>
      </c>
    </row>
    <row r="119" spans="1:8" ht="38.25" x14ac:dyDescent="0.25">
      <c r="A119" s="4" t="s">
        <v>118</v>
      </c>
      <c r="B119" s="4" t="s">
        <v>25</v>
      </c>
      <c r="C119" s="4" t="s">
        <v>149</v>
      </c>
      <c r="D119" s="4">
        <v>1.6</v>
      </c>
      <c r="E119" s="5">
        <v>52.36</v>
      </c>
      <c r="F119" s="9">
        <f t="shared" si="3"/>
        <v>58.643200000000007</v>
      </c>
      <c r="G119" s="9">
        <f t="shared" si="4"/>
        <v>29.321600000000004</v>
      </c>
      <c r="H119" s="9">
        <f t="shared" si="5"/>
        <v>79.168320000000008</v>
      </c>
    </row>
    <row r="120" spans="1:8" ht="38.25" x14ac:dyDescent="0.25">
      <c r="A120" s="2" t="s">
        <v>118</v>
      </c>
      <c r="B120" s="2" t="s">
        <v>25</v>
      </c>
      <c r="C120" s="2" t="s">
        <v>150</v>
      </c>
      <c r="D120" s="2">
        <v>1.6</v>
      </c>
      <c r="E120" s="3">
        <v>52.36</v>
      </c>
      <c r="F120" s="9">
        <f t="shared" si="3"/>
        <v>58.643200000000007</v>
      </c>
      <c r="G120" s="9">
        <f t="shared" si="4"/>
        <v>29.321600000000004</v>
      </c>
      <c r="H120" s="9">
        <f t="shared" si="5"/>
        <v>79.168320000000008</v>
      </c>
    </row>
    <row r="121" spans="1:8" ht="38.25" x14ac:dyDescent="0.25">
      <c r="A121" s="4" t="s">
        <v>118</v>
      </c>
      <c r="B121" s="4" t="s">
        <v>25</v>
      </c>
      <c r="C121" s="4" t="s">
        <v>151</v>
      </c>
      <c r="D121" s="4">
        <v>1.6</v>
      </c>
      <c r="E121" s="5">
        <v>52.36</v>
      </c>
      <c r="F121" s="9">
        <f t="shared" si="3"/>
        <v>58.643200000000007</v>
      </c>
      <c r="G121" s="9">
        <f t="shared" si="4"/>
        <v>29.321600000000004</v>
      </c>
      <c r="H121" s="9">
        <f t="shared" si="5"/>
        <v>79.168320000000008</v>
      </c>
    </row>
    <row r="122" spans="1:8" ht="51" x14ac:dyDescent="0.25">
      <c r="A122" s="2" t="s">
        <v>118</v>
      </c>
      <c r="B122" s="2" t="s">
        <v>25</v>
      </c>
      <c r="C122" s="2" t="s">
        <v>152</v>
      </c>
      <c r="D122" s="2">
        <v>1.6</v>
      </c>
      <c r="E122" s="3">
        <v>52.36</v>
      </c>
      <c r="F122" s="9">
        <f t="shared" si="3"/>
        <v>58.643200000000007</v>
      </c>
      <c r="G122" s="9">
        <f t="shared" si="4"/>
        <v>29.321600000000004</v>
      </c>
      <c r="H122" s="9">
        <f t="shared" si="5"/>
        <v>79.168320000000008</v>
      </c>
    </row>
    <row r="123" spans="1:8" ht="38.25" x14ac:dyDescent="0.25">
      <c r="A123" s="4" t="s">
        <v>118</v>
      </c>
      <c r="B123" s="4" t="s">
        <v>25</v>
      </c>
      <c r="C123" s="4" t="s">
        <v>153</v>
      </c>
      <c r="D123" s="4">
        <v>1.8</v>
      </c>
      <c r="E123" s="5">
        <v>52.36</v>
      </c>
      <c r="F123" s="9">
        <f t="shared" si="3"/>
        <v>58.643200000000007</v>
      </c>
      <c r="G123" s="9">
        <f t="shared" si="4"/>
        <v>29.321600000000004</v>
      </c>
      <c r="H123" s="9">
        <f t="shared" si="5"/>
        <v>79.168320000000008</v>
      </c>
    </row>
    <row r="124" spans="1:8" x14ac:dyDescent="0.25">
      <c r="A124" s="2" t="s">
        <v>154</v>
      </c>
      <c r="B124" s="2" t="s">
        <v>155</v>
      </c>
      <c r="C124" s="2" t="s">
        <v>156</v>
      </c>
      <c r="D124" s="2">
        <v>2</v>
      </c>
      <c r="E124" s="3">
        <v>55.79</v>
      </c>
      <c r="F124" s="9">
        <f t="shared" si="3"/>
        <v>62.484800000000007</v>
      </c>
      <c r="G124" s="9">
        <f t="shared" si="4"/>
        <v>31.242400000000004</v>
      </c>
      <c r="H124" s="9">
        <f t="shared" si="5"/>
        <v>84.354480000000009</v>
      </c>
    </row>
    <row r="125" spans="1:8" ht="25.5" x14ac:dyDescent="0.25">
      <c r="A125" s="4" t="s">
        <v>154</v>
      </c>
      <c r="B125" s="4" t="s">
        <v>5</v>
      </c>
      <c r="C125" s="4" t="s">
        <v>157</v>
      </c>
      <c r="D125" s="4">
        <v>2</v>
      </c>
      <c r="E125" s="5">
        <v>55.79</v>
      </c>
      <c r="F125" s="9">
        <f t="shared" si="3"/>
        <v>62.484800000000007</v>
      </c>
      <c r="G125" s="9">
        <f t="shared" si="4"/>
        <v>31.242400000000004</v>
      </c>
      <c r="H125" s="9">
        <f t="shared" si="5"/>
        <v>84.354480000000009</v>
      </c>
    </row>
    <row r="126" spans="1:8" ht="38.25" x14ac:dyDescent="0.25">
      <c r="A126" s="2" t="s">
        <v>154</v>
      </c>
      <c r="B126" s="2" t="s">
        <v>5</v>
      </c>
      <c r="C126" s="2" t="s">
        <v>158</v>
      </c>
      <c r="D126" s="2" t="s">
        <v>18</v>
      </c>
      <c r="E126" s="3">
        <v>55.79</v>
      </c>
      <c r="F126" s="9">
        <f t="shared" si="3"/>
        <v>62.484800000000007</v>
      </c>
      <c r="G126" s="9">
        <f t="shared" si="4"/>
        <v>31.242400000000004</v>
      </c>
      <c r="H126" s="9">
        <f t="shared" si="5"/>
        <v>84.354480000000009</v>
      </c>
    </row>
    <row r="127" spans="1:8" x14ac:dyDescent="0.25">
      <c r="A127" s="4" t="s">
        <v>154</v>
      </c>
      <c r="B127" s="4" t="s">
        <v>33</v>
      </c>
      <c r="C127" s="4" t="s">
        <v>159</v>
      </c>
      <c r="D127" s="4">
        <v>2</v>
      </c>
      <c r="E127" s="5">
        <v>55.79</v>
      </c>
      <c r="F127" s="9">
        <f t="shared" si="3"/>
        <v>62.484800000000007</v>
      </c>
      <c r="G127" s="9">
        <f t="shared" si="4"/>
        <v>31.242400000000004</v>
      </c>
      <c r="H127" s="9">
        <f t="shared" si="5"/>
        <v>84.354480000000009</v>
      </c>
    </row>
    <row r="128" spans="1:8" ht="38.25" x14ac:dyDescent="0.25">
      <c r="A128" s="2" t="s">
        <v>154</v>
      </c>
      <c r="B128" s="2" t="s">
        <v>49</v>
      </c>
      <c r="C128" s="2" t="s">
        <v>160</v>
      </c>
      <c r="D128" s="2" t="s">
        <v>18</v>
      </c>
      <c r="E128" s="3">
        <v>55.79</v>
      </c>
      <c r="F128" s="9">
        <f t="shared" si="3"/>
        <v>62.484800000000007</v>
      </c>
      <c r="G128" s="9">
        <f t="shared" si="4"/>
        <v>31.242400000000004</v>
      </c>
      <c r="H128" s="9">
        <f t="shared" si="5"/>
        <v>84.354480000000009</v>
      </c>
    </row>
    <row r="129" spans="1:8" ht="25.5" x14ac:dyDescent="0.25">
      <c r="A129" s="4" t="s">
        <v>154</v>
      </c>
      <c r="B129" s="4" t="s">
        <v>49</v>
      </c>
      <c r="C129" s="4" t="s">
        <v>161</v>
      </c>
      <c r="D129" s="4">
        <v>2.2000000000000002</v>
      </c>
      <c r="E129" s="5">
        <v>55.79</v>
      </c>
      <c r="F129" s="9">
        <f t="shared" si="3"/>
        <v>62.484800000000007</v>
      </c>
      <c r="G129" s="9">
        <f t="shared" si="4"/>
        <v>31.242400000000004</v>
      </c>
      <c r="H129" s="9">
        <f t="shared" si="5"/>
        <v>84.354480000000009</v>
      </c>
    </row>
    <row r="130" spans="1:8" ht="25.5" x14ac:dyDescent="0.25">
      <c r="A130" s="2" t="s">
        <v>154</v>
      </c>
      <c r="B130" s="2" t="s">
        <v>162</v>
      </c>
      <c r="C130" s="2" t="s">
        <v>163</v>
      </c>
      <c r="D130" s="2">
        <v>2</v>
      </c>
      <c r="E130" s="3">
        <v>55.79</v>
      </c>
      <c r="F130" s="9">
        <f t="shared" si="3"/>
        <v>62.484800000000007</v>
      </c>
      <c r="G130" s="9">
        <f t="shared" si="4"/>
        <v>31.242400000000004</v>
      </c>
      <c r="H130" s="9">
        <f t="shared" si="5"/>
        <v>84.354480000000009</v>
      </c>
    </row>
    <row r="131" spans="1:8" x14ac:dyDescent="0.25">
      <c r="A131" s="4" t="s">
        <v>154</v>
      </c>
      <c r="B131" s="4" t="s">
        <v>124</v>
      </c>
      <c r="C131" s="4" t="s">
        <v>164</v>
      </c>
      <c r="D131" s="4">
        <v>2</v>
      </c>
      <c r="E131" s="5">
        <v>55.79</v>
      </c>
      <c r="F131" s="9">
        <f t="shared" ref="F131:F182" si="6">E131*1.12</f>
        <v>62.484800000000007</v>
      </c>
      <c r="G131" s="9">
        <f t="shared" ref="G131:G182" si="7">F131/2</f>
        <v>31.242400000000004</v>
      </c>
      <c r="H131" s="9">
        <f t="shared" ref="H131:H182" si="8">F131*1.35</f>
        <v>84.354480000000009</v>
      </c>
    </row>
    <row r="132" spans="1:8" ht="25.5" x14ac:dyDescent="0.25">
      <c r="A132" s="2" t="s">
        <v>154</v>
      </c>
      <c r="B132" s="2" t="s">
        <v>11</v>
      </c>
      <c r="C132" s="2" t="s">
        <v>165</v>
      </c>
      <c r="D132" s="2">
        <v>2.2000000000000002</v>
      </c>
      <c r="E132" s="3">
        <v>55.79</v>
      </c>
      <c r="F132" s="9">
        <f t="shared" si="6"/>
        <v>62.484800000000007</v>
      </c>
      <c r="G132" s="9">
        <f t="shared" si="7"/>
        <v>31.242400000000004</v>
      </c>
      <c r="H132" s="9">
        <f t="shared" si="8"/>
        <v>84.354480000000009</v>
      </c>
    </row>
    <row r="133" spans="1:8" ht="38.25" x14ac:dyDescent="0.25">
      <c r="A133" s="4" t="s">
        <v>154</v>
      </c>
      <c r="B133" s="4" t="s">
        <v>11</v>
      </c>
      <c r="C133" s="4" t="s">
        <v>166</v>
      </c>
      <c r="D133" s="4"/>
      <c r="E133" s="5">
        <v>55.79</v>
      </c>
      <c r="F133" s="9">
        <f t="shared" si="6"/>
        <v>62.484800000000007</v>
      </c>
      <c r="G133" s="9">
        <f t="shared" si="7"/>
        <v>31.242400000000004</v>
      </c>
      <c r="H133" s="9">
        <f t="shared" si="8"/>
        <v>84.354480000000009</v>
      </c>
    </row>
    <row r="134" spans="1:8" x14ac:dyDescent="0.25">
      <c r="A134" s="2" t="s">
        <v>154</v>
      </c>
      <c r="B134" s="2" t="s">
        <v>13</v>
      </c>
      <c r="C134" s="2" t="s">
        <v>167</v>
      </c>
      <c r="D134" s="2">
        <v>2</v>
      </c>
      <c r="E134" s="3">
        <v>55.79</v>
      </c>
      <c r="F134" s="9">
        <f t="shared" si="6"/>
        <v>62.484800000000007</v>
      </c>
      <c r="G134" s="9">
        <f t="shared" si="7"/>
        <v>31.242400000000004</v>
      </c>
      <c r="H134" s="9">
        <f t="shared" si="8"/>
        <v>84.354480000000009</v>
      </c>
    </row>
    <row r="135" spans="1:8" ht="25.5" x14ac:dyDescent="0.25">
      <c r="A135" s="4" t="s">
        <v>154</v>
      </c>
      <c r="B135" s="4" t="s">
        <v>13</v>
      </c>
      <c r="C135" s="4" t="s">
        <v>168</v>
      </c>
      <c r="D135" s="4" t="s">
        <v>18</v>
      </c>
      <c r="E135" s="5">
        <v>55.79</v>
      </c>
      <c r="F135" s="9">
        <f t="shared" si="6"/>
        <v>62.484800000000007</v>
      </c>
      <c r="G135" s="9">
        <f t="shared" si="7"/>
        <v>31.242400000000004</v>
      </c>
      <c r="H135" s="9">
        <f t="shared" si="8"/>
        <v>84.354480000000009</v>
      </c>
    </row>
    <row r="136" spans="1:8" ht="38.25" x14ac:dyDescent="0.25">
      <c r="A136" s="2" t="s">
        <v>154</v>
      </c>
      <c r="B136" s="2" t="s">
        <v>13</v>
      </c>
      <c r="C136" s="2" t="s">
        <v>169</v>
      </c>
      <c r="D136" s="2">
        <v>1.6</v>
      </c>
      <c r="E136" s="3">
        <v>55.79</v>
      </c>
      <c r="F136" s="9">
        <f t="shared" si="6"/>
        <v>62.484800000000007</v>
      </c>
      <c r="G136" s="9">
        <f t="shared" si="7"/>
        <v>31.242400000000004</v>
      </c>
      <c r="H136" s="9">
        <f t="shared" si="8"/>
        <v>84.354480000000009</v>
      </c>
    </row>
    <row r="137" spans="1:8" ht="38.25" x14ac:dyDescent="0.25">
      <c r="A137" s="4" t="s">
        <v>154</v>
      </c>
      <c r="B137" s="4" t="s">
        <v>13</v>
      </c>
      <c r="C137" s="4" t="s">
        <v>170</v>
      </c>
      <c r="D137" s="4" t="s">
        <v>18</v>
      </c>
      <c r="E137" s="5">
        <v>55.79</v>
      </c>
      <c r="F137" s="9">
        <f t="shared" si="6"/>
        <v>62.484800000000007</v>
      </c>
      <c r="G137" s="9">
        <f t="shared" si="7"/>
        <v>31.242400000000004</v>
      </c>
      <c r="H137" s="9">
        <f t="shared" si="8"/>
        <v>84.354480000000009</v>
      </c>
    </row>
    <row r="138" spans="1:8" x14ac:dyDescent="0.25">
      <c r="A138" s="2" t="s">
        <v>154</v>
      </c>
      <c r="B138" s="2" t="s">
        <v>13</v>
      </c>
      <c r="C138" s="2" t="s">
        <v>171</v>
      </c>
      <c r="D138" s="2">
        <v>2</v>
      </c>
      <c r="E138" s="3">
        <v>55.79</v>
      </c>
      <c r="F138" s="9">
        <f t="shared" si="6"/>
        <v>62.484800000000007</v>
      </c>
      <c r="G138" s="9">
        <f t="shared" si="7"/>
        <v>31.242400000000004</v>
      </c>
      <c r="H138" s="9">
        <f t="shared" si="8"/>
        <v>84.354480000000009</v>
      </c>
    </row>
    <row r="139" spans="1:8" ht="25.5" x14ac:dyDescent="0.25">
      <c r="A139" s="4" t="s">
        <v>154</v>
      </c>
      <c r="B139" s="4" t="s">
        <v>13</v>
      </c>
      <c r="C139" s="4" t="s">
        <v>172</v>
      </c>
      <c r="D139" s="4">
        <v>2</v>
      </c>
      <c r="E139" s="5">
        <v>55.79</v>
      </c>
      <c r="F139" s="9">
        <f t="shared" si="6"/>
        <v>62.484800000000007</v>
      </c>
      <c r="G139" s="9">
        <f t="shared" si="7"/>
        <v>31.242400000000004</v>
      </c>
      <c r="H139" s="9">
        <f t="shared" si="8"/>
        <v>84.354480000000009</v>
      </c>
    </row>
    <row r="140" spans="1:8" ht="25.5" x14ac:dyDescent="0.25">
      <c r="A140" s="2" t="s">
        <v>154</v>
      </c>
      <c r="B140" s="2" t="s">
        <v>37</v>
      </c>
      <c r="C140" s="2" t="s">
        <v>173</v>
      </c>
      <c r="D140" s="2">
        <v>2</v>
      </c>
      <c r="E140" s="3">
        <v>55.79</v>
      </c>
      <c r="F140" s="9">
        <f t="shared" si="6"/>
        <v>62.484800000000007</v>
      </c>
      <c r="G140" s="9">
        <f t="shared" si="7"/>
        <v>31.242400000000004</v>
      </c>
      <c r="H140" s="9">
        <f t="shared" si="8"/>
        <v>84.354480000000009</v>
      </c>
    </row>
    <row r="141" spans="1:8" x14ac:dyDescent="0.25">
      <c r="A141" s="4" t="s">
        <v>154</v>
      </c>
      <c r="B141" s="4" t="s">
        <v>174</v>
      </c>
      <c r="C141" s="4" t="s">
        <v>175</v>
      </c>
      <c r="D141" s="4">
        <v>2</v>
      </c>
      <c r="E141" s="5">
        <v>55.79</v>
      </c>
      <c r="F141" s="9">
        <f t="shared" si="6"/>
        <v>62.484800000000007</v>
      </c>
      <c r="G141" s="9">
        <f t="shared" si="7"/>
        <v>31.242400000000004</v>
      </c>
      <c r="H141" s="9">
        <f t="shared" si="8"/>
        <v>84.354480000000009</v>
      </c>
    </row>
    <row r="142" spans="1:8" x14ac:dyDescent="0.25">
      <c r="A142" s="2" t="s">
        <v>154</v>
      </c>
      <c r="B142" s="2" t="s">
        <v>103</v>
      </c>
      <c r="C142" s="2" t="s">
        <v>176</v>
      </c>
      <c r="D142" s="2">
        <v>2</v>
      </c>
      <c r="E142" s="3">
        <v>55.79</v>
      </c>
      <c r="F142" s="9">
        <f t="shared" si="6"/>
        <v>62.484800000000007</v>
      </c>
      <c r="G142" s="9">
        <f t="shared" si="7"/>
        <v>31.242400000000004</v>
      </c>
      <c r="H142" s="9">
        <f t="shared" si="8"/>
        <v>84.354480000000009</v>
      </c>
    </row>
    <row r="143" spans="1:8" ht="38.25" x14ac:dyDescent="0.25">
      <c r="A143" s="4" t="s">
        <v>154</v>
      </c>
      <c r="B143" s="4" t="s">
        <v>103</v>
      </c>
      <c r="C143" s="4" t="s">
        <v>177</v>
      </c>
      <c r="D143" s="4">
        <v>2</v>
      </c>
      <c r="E143" s="5">
        <v>55.79</v>
      </c>
      <c r="F143" s="9">
        <f t="shared" si="6"/>
        <v>62.484800000000007</v>
      </c>
      <c r="G143" s="9">
        <f t="shared" si="7"/>
        <v>31.242400000000004</v>
      </c>
      <c r="H143" s="9">
        <f t="shared" si="8"/>
        <v>84.354480000000009</v>
      </c>
    </row>
    <row r="144" spans="1:8" ht="38.25" x14ac:dyDescent="0.25">
      <c r="A144" s="2" t="s">
        <v>154</v>
      </c>
      <c r="B144" s="2" t="s">
        <v>39</v>
      </c>
      <c r="C144" s="2" t="s">
        <v>178</v>
      </c>
      <c r="D144" s="2">
        <v>2</v>
      </c>
      <c r="E144" s="3">
        <v>55.79</v>
      </c>
      <c r="F144" s="9">
        <f t="shared" si="6"/>
        <v>62.484800000000007</v>
      </c>
      <c r="G144" s="9">
        <f t="shared" si="7"/>
        <v>31.242400000000004</v>
      </c>
      <c r="H144" s="9">
        <f t="shared" si="8"/>
        <v>84.354480000000009</v>
      </c>
    </row>
    <row r="145" spans="1:8" ht="25.5" x14ac:dyDescent="0.25">
      <c r="A145" s="4" t="s">
        <v>154</v>
      </c>
      <c r="B145" s="4" t="s">
        <v>179</v>
      </c>
      <c r="C145" s="4" t="s">
        <v>180</v>
      </c>
      <c r="D145" s="4">
        <v>2</v>
      </c>
      <c r="E145" s="5">
        <v>55.79</v>
      </c>
      <c r="F145" s="9">
        <f t="shared" si="6"/>
        <v>62.484800000000007</v>
      </c>
      <c r="G145" s="9">
        <f t="shared" si="7"/>
        <v>31.242400000000004</v>
      </c>
      <c r="H145" s="9">
        <f t="shared" si="8"/>
        <v>84.354480000000009</v>
      </c>
    </row>
    <row r="146" spans="1:8" ht="25.5" x14ac:dyDescent="0.25">
      <c r="A146" s="2" t="s">
        <v>154</v>
      </c>
      <c r="B146" s="2" t="s">
        <v>21</v>
      </c>
      <c r="C146" s="2" t="s">
        <v>181</v>
      </c>
      <c r="D146" s="2">
        <v>2</v>
      </c>
      <c r="E146" s="3">
        <v>55.79</v>
      </c>
      <c r="F146" s="9">
        <f t="shared" si="6"/>
        <v>62.484800000000007</v>
      </c>
      <c r="G146" s="9">
        <f t="shared" si="7"/>
        <v>31.242400000000004</v>
      </c>
      <c r="H146" s="9">
        <f t="shared" si="8"/>
        <v>84.354480000000009</v>
      </c>
    </row>
    <row r="147" spans="1:8" ht="38.25" x14ac:dyDescent="0.25">
      <c r="A147" s="4" t="s">
        <v>154</v>
      </c>
      <c r="B147" s="4" t="s">
        <v>21</v>
      </c>
      <c r="C147" s="4" t="s">
        <v>182</v>
      </c>
      <c r="D147" s="4">
        <v>2.2000000000000002</v>
      </c>
      <c r="E147" s="5">
        <v>55.79</v>
      </c>
      <c r="F147" s="9">
        <f t="shared" si="6"/>
        <v>62.484800000000007</v>
      </c>
      <c r="G147" s="9">
        <f t="shared" si="7"/>
        <v>31.242400000000004</v>
      </c>
      <c r="H147" s="9">
        <f t="shared" si="8"/>
        <v>84.354480000000009</v>
      </c>
    </row>
    <row r="148" spans="1:8" ht="25.5" x14ac:dyDescent="0.25">
      <c r="A148" s="2" t="s">
        <v>154</v>
      </c>
      <c r="B148" s="2" t="s">
        <v>23</v>
      </c>
      <c r="C148" s="2" t="s">
        <v>183</v>
      </c>
      <c r="D148" s="2">
        <v>2</v>
      </c>
      <c r="E148" s="3">
        <v>55.79</v>
      </c>
      <c r="F148" s="9">
        <f t="shared" si="6"/>
        <v>62.484800000000007</v>
      </c>
      <c r="G148" s="9">
        <f t="shared" si="7"/>
        <v>31.242400000000004</v>
      </c>
      <c r="H148" s="9">
        <f t="shared" si="8"/>
        <v>84.354480000000009</v>
      </c>
    </row>
    <row r="149" spans="1:8" ht="25.5" x14ac:dyDescent="0.25">
      <c r="A149" s="4" t="s">
        <v>154</v>
      </c>
      <c r="B149" s="4" t="s">
        <v>23</v>
      </c>
      <c r="C149" s="4" t="s">
        <v>184</v>
      </c>
      <c r="D149" s="4">
        <v>1.8</v>
      </c>
      <c r="E149" s="5">
        <v>55.79</v>
      </c>
      <c r="F149" s="9">
        <f t="shared" si="6"/>
        <v>62.484800000000007</v>
      </c>
      <c r="G149" s="9">
        <f t="shared" si="7"/>
        <v>31.242400000000004</v>
      </c>
      <c r="H149" s="9">
        <f t="shared" si="8"/>
        <v>84.354480000000009</v>
      </c>
    </row>
    <row r="150" spans="1:8" ht="25.5" x14ac:dyDescent="0.25">
      <c r="A150" s="2" t="s">
        <v>154</v>
      </c>
      <c r="B150" s="2" t="s">
        <v>23</v>
      </c>
      <c r="C150" s="2" t="s">
        <v>185</v>
      </c>
      <c r="D150" s="2">
        <v>2</v>
      </c>
      <c r="E150" s="3">
        <v>55.79</v>
      </c>
      <c r="F150" s="9">
        <f t="shared" si="6"/>
        <v>62.484800000000007</v>
      </c>
      <c r="G150" s="9">
        <f t="shared" si="7"/>
        <v>31.242400000000004</v>
      </c>
      <c r="H150" s="9">
        <f t="shared" si="8"/>
        <v>84.354480000000009</v>
      </c>
    </row>
    <row r="151" spans="1:8" x14ac:dyDescent="0.25">
      <c r="A151" s="4" t="s">
        <v>154</v>
      </c>
      <c r="B151" s="4" t="s">
        <v>25</v>
      </c>
      <c r="C151" s="4" t="s">
        <v>186</v>
      </c>
      <c r="D151" s="4">
        <v>2</v>
      </c>
      <c r="E151" s="5">
        <v>55.79</v>
      </c>
      <c r="F151" s="9">
        <f t="shared" si="6"/>
        <v>62.484800000000007</v>
      </c>
      <c r="G151" s="9">
        <f t="shared" si="7"/>
        <v>31.242400000000004</v>
      </c>
      <c r="H151" s="9">
        <f t="shared" si="8"/>
        <v>84.354480000000009</v>
      </c>
    </row>
    <row r="152" spans="1:8" ht="25.5" x14ac:dyDescent="0.25">
      <c r="A152" s="2" t="s">
        <v>154</v>
      </c>
      <c r="B152" s="2" t="s">
        <v>25</v>
      </c>
      <c r="C152" s="2" t="s">
        <v>187</v>
      </c>
      <c r="D152" s="2">
        <v>2</v>
      </c>
      <c r="E152" s="3">
        <v>55.79</v>
      </c>
      <c r="F152" s="9">
        <f t="shared" si="6"/>
        <v>62.484800000000007</v>
      </c>
      <c r="G152" s="9">
        <f t="shared" si="7"/>
        <v>31.242400000000004</v>
      </c>
      <c r="H152" s="9">
        <f t="shared" si="8"/>
        <v>84.354480000000009</v>
      </c>
    </row>
    <row r="153" spans="1:8" ht="25.5" x14ac:dyDescent="0.25">
      <c r="A153" s="4" t="s">
        <v>154</v>
      </c>
      <c r="B153" s="4" t="s">
        <v>25</v>
      </c>
      <c r="C153" s="4" t="s">
        <v>188</v>
      </c>
      <c r="D153" s="4">
        <v>1.9</v>
      </c>
      <c r="E153" s="5">
        <v>55.79</v>
      </c>
      <c r="F153" s="9">
        <f t="shared" si="6"/>
        <v>62.484800000000007</v>
      </c>
      <c r="G153" s="9">
        <f t="shared" si="7"/>
        <v>31.242400000000004</v>
      </c>
      <c r="H153" s="9">
        <f t="shared" si="8"/>
        <v>84.354480000000009</v>
      </c>
    </row>
    <row r="154" spans="1:8" ht="25.5" x14ac:dyDescent="0.25">
      <c r="A154" s="2" t="s">
        <v>154</v>
      </c>
      <c r="B154" s="2" t="s">
        <v>25</v>
      </c>
      <c r="C154" s="2" t="s">
        <v>189</v>
      </c>
      <c r="D154" s="2">
        <v>2</v>
      </c>
      <c r="E154" s="3">
        <v>55.79</v>
      </c>
      <c r="F154" s="9">
        <f t="shared" si="6"/>
        <v>62.484800000000007</v>
      </c>
      <c r="G154" s="9">
        <f t="shared" si="7"/>
        <v>31.242400000000004</v>
      </c>
      <c r="H154" s="9">
        <f t="shared" si="8"/>
        <v>84.354480000000009</v>
      </c>
    </row>
    <row r="155" spans="1:8" ht="25.5" x14ac:dyDescent="0.25">
      <c r="A155" s="4" t="s">
        <v>154</v>
      </c>
      <c r="B155" s="4" t="s">
        <v>25</v>
      </c>
      <c r="C155" s="4" t="s">
        <v>190</v>
      </c>
      <c r="D155" s="4">
        <v>2</v>
      </c>
      <c r="E155" s="5">
        <v>55.79</v>
      </c>
      <c r="F155" s="9">
        <f t="shared" si="6"/>
        <v>62.484800000000007</v>
      </c>
      <c r="G155" s="9">
        <f t="shared" si="7"/>
        <v>31.242400000000004</v>
      </c>
      <c r="H155" s="9">
        <f t="shared" si="8"/>
        <v>84.354480000000009</v>
      </c>
    </row>
    <row r="156" spans="1:8" ht="38.25" x14ac:dyDescent="0.25">
      <c r="A156" s="2" t="s">
        <v>154</v>
      </c>
      <c r="B156" s="2" t="s">
        <v>25</v>
      </c>
      <c r="C156" s="2" t="s">
        <v>191</v>
      </c>
      <c r="D156" s="2">
        <v>1.9</v>
      </c>
      <c r="E156" s="3">
        <v>55.79</v>
      </c>
      <c r="F156" s="9">
        <f t="shared" si="6"/>
        <v>62.484800000000007</v>
      </c>
      <c r="G156" s="9">
        <f t="shared" si="7"/>
        <v>31.242400000000004</v>
      </c>
      <c r="H156" s="9">
        <f t="shared" si="8"/>
        <v>84.354480000000009</v>
      </c>
    </row>
    <row r="157" spans="1:8" ht="25.5" x14ac:dyDescent="0.25">
      <c r="A157" s="4" t="s">
        <v>154</v>
      </c>
      <c r="B157" s="4" t="s">
        <v>25</v>
      </c>
      <c r="C157" s="4" t="s">
        <v>192</v>
      </c>
      <c r="D157" s="4">
        <v>2</v>
      </c>
      <c r="E157" s="5">
        <v>55.79</v>
      </c>
      <c r="F157" s="9">
        <f t="shared" si="6"/>
        <v>62.484800000000007</v>
      </c>
      <c r="G157" s="9">
        <f t="shared" si="7"/>
        <v>31.242400000000004</v>
      </c>
      <c r="H157" s="9">
        <f t="shared" si="8"/>
        <v>84.354480000000009</v>
      </c>
    </row>
    <row r="158" spans="1:8" ht="25.5" x14ac:dyDescent="0.25">
      <c r="A158" s="2" t="s">
        <v>154</v>
      </c>
      <c r="B158" s="2" t="s">
        <v>25</v>
      </c>
      <c r="C158" s="2" t="s">
        <v>193</v>
      </c>
      <c r="D158" s="2">
        <v>2</v>
      </c>
      <c r="E158" s="3">
        <v>55.79</v>
      </c>
      <c r="F158" s="9">
        <f t="shared" si="6"/>
        <v>62.484800000000007</v>
      </c>
      <c r="G158" s="9">
        <f t="shared" si="7"/>
        <v>31.242400000000004</v>
      </c>
      <c r="H158" s="9">
        <f t="shared" si="8"/>
        <v>84.354480000000009</v>
      </c>
    </row>
    <row r="159" spans="1:8" ht="25.5" x14ac:dyDescent="0.25">
      <c r="A159" s="4" t="s">
        <v>154</v>
      </c>
      <c r="B159" s="4" t="s">
        <v>25</v>
      </c>
      <c r="C159" s="4" t="s">
        <v>194</v>
      </c>
      <c r="D159" s="4">
        <v>1.9</v>
      </c>
      <c r="E159" s="5">
        <v>55.79</v>
      </c>
      <c r="F159" s="9">
        <f t="shared" si="6"/>
        <v>62.484800000000007</v>
      </c>
      <c r="G159" s="9">
        <f t="shared" si="7"/>
        <v>31.242400000000004</v>
      </c>
      <c r="H159" s="9">
        <f t="shared" si="8"/>
        <v>84.354480000000009</v>
      </c>
    </row>
    <row r="160" spans="1:8" x14ac:dyDescent="0.25">
      <c r="A160" s="2" t="s">
        <v>154</v>
      </c>
      <c r="B160" s="2" t="s">
        <v>25</v>
      </c>
      <c r="C160" s="2" t="s">
        <v>195</v>
      </c>
      <c r="D160" s="2">
        <v>2</v>
      </c>
      <c r="E160" s="3">
        <v>55.79</v>
      </c>
      <c r="F160" s="9">
        <f t="shared" si="6"/>
        <v>62.484800000000007</v>
      </c>
      <c r="G160" s="9">
        <f t="shared" si="7"/>
        <v>31.242400000000004</v>
      </c>
      <c r="H160" s="9">
        <f t="shared" si="8"/>
        <v>84.354480000000009</v>
      </c>
    </row>
    <row r="161" spans="1:8" ht="25.5" x14ac:dyDescent="0.25">
      <c r="A161" s="4" t="s">
        <v>196</v>
      </c>
      <c r="B161" s="4" t="s">
        <v>74</v>
      </c>
      <c r="C161" s="4" t="s">
        <v>197</v>
      </c>
      <c r="D161" s="4">
        <v>1.4</v>
      </c>
      <c r="E161" s="5">
        <v>78.23</v>
      </c>
      <c r="F161" s="9">
        <f t="shared" si="6"/>
        <v>87.61760000000001</v>
      </c>
      <c r="G161" s="9">
        <f t="shared" si="7"/>
        <v>43.808800000000005</v>
      </c>
      <c r="H161" s="9">
        <f t="shared" si="8"/>
        <v>118.28376000000002</v>
      </c>
    </row>
    <row r="162" spans="1:8" ht="51" x14ac:dyDescent="0.25">
      <c r="A162" s="2" t="s">
        <v>196</v>
      </c>
      <c r="B162" s="2" t="s">
        <v>155</v>
      </c>
      <c r="C162" s="2" t="s">
        <v>198</v>
      </c>
      <c r="D162" s="2">
        <v>2.4</v>
      </c>
      <c r="E162" s="3">
        <v>78.23</v>
      </c>
      <c r="F162" s="9">
        <f t="shared" si="6"/>
        <v>87.61760000000001</v>
      </c>
      <c r="G162" s="9">
        <f t="shared" si="7"/>
        <v>43.808800000000005</v>
      </c>
      <c r="H162" s="9">
        <f t="shared" si="8"/>
        <v>118.28376000000002</v>
      </c>
    </row>
    <row r="163" spans="1:8" ht="25.5" x14ac:dyDescent="0.25">
      <c r="A163" s="4" t="s">
        <v>196</v>
      </c>
      <c r="B163" s="4" t="s">
        <v>5</v>
      </c>
      <c r="C163" s="4" t="s">
        <v>199</v>
      </c>
      <c r="D163" s="4">
        <v>2</v>
      </c>
      <c r="E163" s="5">
        <v>78.23</v>
      </c>
      <c r="F163" s="9">
        <f t="shared" si="6"/>
        <v>87.61760000000001</v>
      </c>
      <c r="G163" s="9">
        <f t="shared" si="7"/>
        <v>43.808800000000005</v>
      </c>
      <c r="H163" s="9">
        <f t="shared" si="8"/>
        <v>118.28376000000002</v>
      </c>
    </row>
    <row r="164" spans="1:8" ht="25.5" x14ac:dyDescent="0.25">
      <c r="A164" s="2" t="s">
        <v>196</v>
      </c>
      <c r="B164" s="2" t="s">
        <v>49</v>
      </c>
      <c r="C164" s="2" t="s">
        <v>200</v>
      </c>
      <c r="D164" s="2">
        <v>2.2000000000000002</v>
      </c>
      <c r="E164" s="3">
        <v>78.23</v>
      </c>
      <c r="F164" s="9">
        <f t="shared" si="6"/>
        <v>87.61760000000001</v>
      </c>
      <c r="G164" s="9">
        <f t="shared" si="7"/>
        <v>43.808800000000005</v>
      </c>
      <c r="H164" s="9">
        <f t="shared" si="8"/>
        <v>118.28376000000002</v>
      </c>
    </row>
    <row r="165" spans="1:8" ht="25.5" x14ac:dyDescent="0.25">
      <c r="A165" s="4" t="s">
        <v>196</v>
      </c>
      <c r="B165" s="4" t="s">
        <v>49</v>
      </c>
      <c r="C165" s="4" t="s">
        <v>201</v>
      </c>
      <c r="D165" s="4">
        <v>2.4</v>
      </c>
      <c r="E165" s="5">
        <v>78.23</v>
      </c>
      <c r="F165" s="9">
        <f t="shared" si="6"/>
        <v>87.61760000000001</v>
      </c>
      <c r="G165" s="9">
        <f t="shared" si="7"/>
        <v>43.808800000000005</v>
      </c>
      <c r="H165" s="9">
        <f t="shared" si="8"/>
        <v>118.28376000000002</v>
      </c>
    </row>
    <row r="166" spans="1:8" x14ac:dyDescent="0.25">
      <c r="A166" s="2" t="s">
        <v>196</v>
      </c>
      <c r="B166" s="2" t="s">
        <v>202</v>
      </c>
      <c r="C166" s="2" t="s">
        <v>203</v>
      </c>
      <c r="D166" s="2">
        <v>2</v>
      </c>
      <c r="E166" s="3">
        <v>78.23</v>
      </c>
      <c r="F166" s="9">
        <f t="shared" si="6"/>
        <v>87.61760000000001</v>
      </c>
      <c r="G166" s="9">
        <f t="shared" si="7"/>
        <v>43.808800000000005</v>
      </c>
      <c r="H166" s="9">
        <f t="shared" si="8"/>
        <v>118.28376000000002</v>
      </c>
    </row>
    <row r="167" spans="1:8" ht="25.5" x14ac:dyDescent="0.25">
      <c r="A167" s="4" t="s">
        <v>196</v>
      </c>
      <c r="B167" s="4" t="s">
        <v>13</v>
      </c>
      <c r="C167" s="4" t="s">
        <v>204</v>
      </c>
      <c r="D167" s="4">
        <v>2.7</v>
      </c>
      <c r="E167" s="5">
        <v>78.23</v>
      </c>
      <c r="F167" s="9">
        <f t="shared" si="6"/>
        <v>87.61760000000001</v>
      </c>
      <c r="G167" s="9">
        <f t="shared" si="7"/>
        <v>43.808800000000005</v>
      </c>
      <c r="H167" s="9">
        <f t="shared" si="8"/>
        <v>118.28376000000002</v>
      </c>
    </row>
    <row r="168" spans="1:8" x14ac:dyDescent="0.25">
      <c r="A168" s="2" t="s">
        <v>196</v>
      </c>
      <c r="B168" s="2" t="s">
        <v>13</v>
      </c>
      <c r="C168" s="2" t="s">
        <v>205</v>
      </c>
      <c r="D168" s="2">
        <v>2.2000000000000002</v>
      </c>
      <c r="E168" s="3">
        <v>78.23</v>
      </c>
      <c r="F168" s="9">
        <f t="shared" si="6"/>
        <v>87.61760000000001</v>
      </c>
      <c r="G168" s="9">
        <f t="shared" si="7"/>
        <v>43.808800000000005</v>
      </c>
      <c r="H168" s="9">
        <f t="shared" si="8"/>
        <v>118.28376000000002</v>
      </c>
    </row>
    <row r="169" spans="1:8" ht="25.5" x14ac:dyDescent="0.25">
      <c r="A169" s="4" t="s">
        <v>196</v>
      </c>
      <c r="B169" s="4" t="s">
        <v>37</v>
      </c>
      <c r="C169" s="4" t="s">
        <v>206</v>
      </c>
      <c r="D169" s="4">
        <v>2</v>
      </c>
      <c r="E169" s="5">
        <v>78.23</v>
      </c>
      <c r="F169" s="9">
        <f t="shared" si="6"/>
        <v>87.61760000000001</v>
      </c>
      <c r="G169" s="9">
        <f t="shared" si="7"/>
        <v>43.808800000000005</v>
      </c>
      <c r="H169" s="9">
        <f t="shared" si="8"/>
        <v>118.28376000000002</v>
      </c>
    </row>
    <row r="170" spans="1:8" ht="38.25" x14ac:dyDescent="0.25">
      <c r="A170" s="2" t="s">
        <v>196</v>
      </c>
      <c r="B170" s="2" t="s">
        <v>37</v>
      </c>
      <c r="C170" s="2" t="s">
        <v>207</v>
      </c>
      <c r="D170" s="2">
        <v>1.9</v>
      </c>
      <c r="E170" s="3">
        <v>78.23</v>
      </c>
      <c r="F170" s="9">
        <f t="shared" si="6"/>
        <v>87.61760000000001</v>
      </c>
      <c r="G170" s="9">
        <f t="shared" si="7"/>
        <v>43.808800000000005</v>
      </c>
      <c r="H170" s="9">
        <f t="shared" si="8"/>
        <v>118.28376000000002</v>
      </c>
    </row>
    <row r="171" spans="1:8" ht="25.5" x14ac:dyDescent="0.25">
      <c r="A171" s="4" t="s">
        <v>196</v>
      </c>
      <c r="B171" s="4" t="s">
        <v>39</v>
      </c>
      <c r="C171" s="4" t="s">
        <v>208</v>
      </c>
      <c r="D171" s="4">
        <v>2.5</v>
      </c>
      <c r="E171" s="5">
        <v>78.23</v>
      </c>
      <c r="F171" s="9">
        <f t="shared" si="6"/>
        <v>87.61760000000001</v>
      </c>
      <c r="G171" s="9">
        <f t="shared" si="7"/>
        <v>43.808800000000005</v>
      </c>
      <c r="H171" s="9">
        <f t="shared" si="8"/>
        <v>118.28376000000002</v>
      </c>
    </row>
    <row r="172" spans="1:8" ht="38.25" x14ac:dyDescent="0.25">
      <c r="A172" s="2" t="s">
        <v>196</v>
      </c>
      <c r="B172" s="2" t="s">
        <v>179</v>
      </c>
      <c r="C172" s="2" t="s">
        <v>209</v>
      </c>
      <c r="D172" s="2">
        <v>2.5</v>
      </c>
      <c r="E172" s="3">
        <v>78.23</v>
      </c>
      <c r="F172" s="9">
        <f t="shared" si="6"/>
        <v>87.61760000000001</v>
      </c>
      <c r="G172" s="9">
        <f t="shared" si="7"/>
        <v>43.808800000000005</v>
      </c>
      <c r="H172" s="9">
        <f t="shared" si="8"/>
        <v>118.28376000000002</v>
      </c>
    </row>
    <row r="173" spans="1:8" ht="38.25" x14ac:dyDescent="0.25">
      <c r="A173" s="4" t="s">
        <v>196</v>
      </c>
      <c r="B173" s="4" t="s">
        <v>23</v>
      </c>
      <c r="C173" s="4" t="s">
        <v>210</v>
      </c>
      <c r="D173" s="4">
        <v>2.2000000000000002</v>
      </c>
      <c r="E173" s="5">
        <v>78.23</v>
      </c>
      <c r="F173" s="9">
        <f t="shared" si="6"/>
        <v>87.61760000000001</v>
      </c>
      <c r="G173" s="9">
        <f t="shared" si="7"/>
        <v>43.808800000000005</v>
      </c>
      <c r="H173" s="9">
        <f t="shared" si="8"/>
        <v>118.28376000000002</v>
      </c>
    </row>
    <row r="174" spans="1:8" ht="51" x14ac:dyDescent="0.25">
      <c r="A174" s="2" t="s">
        <v>196</v>
      </c>
      <c r="B174" s="2" t="s">
        <v>23</v>
      </c>
      <c r="C174" s="2" t="s">
        <v>211</v>
      </c>
      <c r="D174" s="2" t="s">
        <v>18</v>
      </c>
      <c r="E174" s="3">
        <v>78.23</v>
      </c>
      <c r="F174" s="9">
        <f t="shared" si="6"/>
        <v>87.61760000000001</v>
      </c>
      <c r="G174" s="9">
        <f t="shared" si="7"/>
        <v>43.808800000000005</v>
      </c>
      <c r="H174" s="9">
        <f t="shared" si="8"/>
        <v>118.28376000000002</v>
      </c>
    </row>
    <row r="175" spans="1:8" ht="25.5" x14ac:dyDescent="0.25">
      <c r="A175" s="4" t="s">
        <v>196</v>
      </c>
      <c r="B175" s="4" t="s">
        <v>23</v>
      </c>
      <c r="C175" s="4" t="s">
        <v>212</v>
      </c>
      <c r="D175" s="4">
        <v>2.8</v>
      </c>
      <c r="E175" s="5">
        <v>78.23</v>
      </c>
      <c r="F175" s="9">
        <f t="shared" si="6"/>
        <v>87.61760000000001</v>
      </c>
      <c r="G175" s="9">
        <f t="shared" si="7"/>
        <v>43.808800000000005</v>
      </c>
      <c r="H175" s="9">
        <f t="shared" si="8"/>
        <v>118.28376000000002</v>
      </c>
    </row>
    <row r="176" spans="1:8" ht="38.25" x14ac:dyDescent="0.25">
      <c r="A176" s="2" t="s">
        <v>196</v>
      </c>
      <c r="B176" s="2" t="s">
        <v>25</v>
      </c>
      <c r="C176" s="2" t="s">
        <v>213</v>
      </c>
      <c r="D176" s="2">
        <v>2</v>
      </c>
      <c r="E176" s="3">
        <v>78.23</v>
      </c>
      <c r="F176" s="9">
        <f t="shared" si="6"/>
        <v>87.61760000000001</v>
      </c>
      <c r="G176" s="9">
        <f t="shared" si="7"/>
        <v>43.808800000000005</v>
      </c>
      <c r="H176" s="9">
        <f t="shared" si="8"/>
        <v>118.28376000000002</v>
      </c>
    </row>
    <row r="177" spans="1:8" ht="25.5" x14ac:dyDescent="0.25">
      <c r="A177" s="4" t="s">
        <v>196</v>
      </c>
      <c r="B177" s="4" t="s">
        <v>25</v>
      </c>
      <c r="C177" s="4" t="s">
        <v>214</v>
      </c>
      <c r="D177" s="4">
        <v>2</v>
      </c>
      <c r="E177" s="5">
        <v>78.23</v>
      </c>
      <c r="F177" s="9">
        <f t="shared" si="6"/>
        <v>87.61760000000001</v>
      </c>
      <c r="G177" s="9">
        <f t="shared" si="7"/>
        <v>43.808800000000005</v>
      </c>
      <c r="H177" s="9">
        <f t="shared" si="8"/>
        <v>118.28376000000002</v>
      </c>
    </row>
    <row r="178" spans="1:8" ht="25.5" x14ac:dyDescent="0.25">
      <c r="A178" s="2" t="s">
        <v>196</v>
      </c>
      <c r="B178" s="2" t="s">
        <v>25</v>
      </c>
      <c r="C178" s="2" t="s">
        <v>215</v>
      </c>
      <c r="D178" s="2">
        <v>2</v>
      </c>
      <c r="E178" s="3">
        <v>78.23</v>
      </c>
      <c r="F178" s="9">
        <f t="shared" si="6"/>
        <v>87.61760000000001</v>
      </c>
      <c r="G178" s="9">
        <f t="shared" si="7"/>
        <v>43.808800000000005</v>
      </c>
      <c r="H178" s="9">
        <f t="shared" si="8"/>
        <v>118.28376000000002</v>
      </c>
    </row>
    <row r="179" spans="1:8" ht="25.5" x14ac:dyDescent="0.25">
      <c r="A179" s="4" t="s">
        <v>196</v>
      </c>
      <c r="B179" s="4" t="s">
        <v>25</v>
      </c>
      <c r="C179" s="4" t="s">
        <v>216</v>
      </c>
      <c r="D179" s="4">
        <v>2</v>
      </c>
      <c r="E179" s="5">
        <v>78.23</v>
      </c>
      <c r="F179" s="9">
        <f t="shared" si="6"/>
        <v>87.61760000000001</v>
      </c>
      <c r="G179" s="9">
        <f t="shared" si="7"/>
        <v>43.808800000000005</v>
      </c>
      <c r="H179" s="9">
        <f t="shared" si="8"/>
        <v>118.28376000000002</v>
      </c>
    </row>
    <row r="180" spans="1:8" ht="25.5" x14ac:dyDescent="0.25">
      <c r="A180" s="2" t="s">
        <v>196</v>
      </c>
      <c r="B180" s="2" t="s">
        <v>25</v>
      </c>
      <c r="C180" s="2" t="s">
        <v>217</v>
      </c>
      <c r="D180" s="2">
        <v>2</v>
      </c>
      <c r="E180" s="3">
        <v>78.23</v>
      </c>
      <c r="F180" s="9">
        <f t="shared" si="6"/>
        <v>87.61760000000001</v>
      </c>
      <c r="G180" s="9">
        <f t="shared" si="7"/>
        <v>43.808800000000005</v>
      </c>
      <c r="H180" s="9">
        <f t="shared" si="8"/>
        <v>118.28376000000002</v>
      </c>
    </row>
    <row r="181" spans="1:8" ht="38.25" x14ac:dyDescent="0.25">
      <c r="A181" s="4" t="s">
        <v>196</v>
      </c>
      <c r="B181" s="4" t="s">
        <v>25</v>
      </c>
      <c r="C181" s="4" t="s">
        <v>218</v>
      </c>
      <c r="D181" s="4">
        <v>2</v>
      </c>
      <c r="E181" s="5">
        <v>78.23</v>
      </c>
      <c r="F181" s="9">
        <f t="shared" si="6"/>
        <v>87.61760000000001</v>
      </c>
      <c r="G181" s="9">
        <f t="shared" si="7"/>
        <v>43.808800000000005</v>
      </c>
      <c r="H181" s="9">
        <f t="shared" si="8"/>
        <v>118.28376000000002</v>
      </c>
    </row>
    <row r="182" spans="1:8" ht="38.25" x14ac:dyDescent="0.25">
      <c r="A182" s="2" t="s">
        <v>196</v>
      </c>
      <c r="B182" s="2" t="s">
        <v>25</v>
      </c>
      <c r="C182" s="2" t="s">
        <v>219</v>
      </c>
      <c r="D182" s="2"/>
      <c r="E182" s="3">
        <v>78.23</v>
      </c>
      <c r="F182" s="9">
        <f t="shared" si="6"/>
        <v>87.61760000000001</v>
      </c>
      <c r="G182" s="9">
        <f t="shared" si="7"/>
        <v>43.808800000000005</v>
      </c>
      <c r="H182" s="9">
        <f t="shared" si="8"/>
        <v>118.28376000000002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C933-A02C-47B7-905A-9A58A8CCE673}">
  <dimension ref="A1:H92"/>
  <sheetViews>
    <sheetView workbookViewId="0">
      <selection activeCell="N6" sqref="A1:XFD1048576"/>
    </sheetView>
  </sheetViews>
  <sheetFormatPr defaultRowHeight="15" x14ac:dyDescent="0.25"/>
  <cols>
    <col min="1" max="1" width="16.85546875" customWidth="1"/>
    <col min="2" max="4" width="0" hidden="1" customWidth="1"/>
    <col min="5" max="5" width="12.140625" hidden="1" customWidth="1"/>
    <col min="6" max="6" width="15.28515625" style="21" customWidth="1"/>
    <col min="7" max="7" width="23.7109375" style="21" customWidth="1"/>
    <col min="8" max="8" width="19.140625" style="20" customWidth="1"/>
  </cols>
  <sheetData>
    <row r="1" spans="1:8" ht="30" customHeight="1" x14ac:dyDescent="0.25">
      <c r="A1" s="15" t="s">
        <v>973</v>
      </c>
      <c r="B1" s="10" t="s">
        <v>0</v>
      </c>
      <c r="C1" s="10" t="s">
        <v>1</v>
      </c>
      <c r="D1" s="10" t="s">
        <v>2</v>
      </c>
      <c r="E1" s="10" t="s">
        <v>3</v>
      </c>
      <c r="F1" s="7" t="s">
        <v>971</v>
      </c>
      <c r="G1" s="26" t="s">
        <v>1004</v>
      </c>
      <c r="H1" s="7" t="s">
        <v>972</v>
      </c>
    </row>
    <row r="2" spans="1:8" ht="30" customHeight="1" x14ac:dyDescent="0.25">
      <c r="A2" s="11" t="s">
        <v>220</v>
      </c>
      <c r="B2" s="11" t="s">
        <v>5</v>
      </c>
      <c r="C2" s="11" t="s">
        <v>221</v>
      </c>
      <c r="D2" s="11">
        <v>1.4</v>
      </c>
      <c r="E2" s="12">
        <v>60.98</v>
      </c>
      <c r="F2" s="9">
        <f>E2*1.01</f>
        <v>61.589799999999997</v>
      </c>
      <c r="G2" s="27">
        <f>F2/2</f>
        <v>30.794899999999998</v>
      </c>
      <c r="H2" s="9">
        <f>F2*1.35</f>
        <v>83.146230000000003</v>
      </c>
    </row>
    <row r="3" spans="1:8" ht="30" customHeight="1" x14ac:dyDescent="0.25">
      <c r="A3" s="11" t="s">
        <v>220</v>
      </c>
      <c r="B3" s="11" t="s">
        <v>33</v>
      </c>
      <c r="C3" s="11" t="s">
        <v>222</v>
      </c>
      <c r="D3" s="11">
        <v>1</v>
      </c>
      <c r="E3" s="12">
        <v>60.98</v>
      </c>
      <c r="F3" s="9">
        <f t="shared" ref="F3:F66" si="0">E3*1.01</f>
        <v>61.589799999999997</v>
      </c>
      <c r="G3" s="27">
        <f t="shared" ref="G3:G66" si="1">F3/2</f>
        <v>30.794899999999998</v>
      </c>
      <c r="H3" s="9">
        <f t="shared" ref="H3:H66" si="2">F3*1.35</f>
        <v>83.146230000000003</v>
      </c>
    </row>
    <row r="4" spans="1:8" ht="30" customHeight="1" x14ac:dyDescent="0.25">
      <c r="A4" s="11" t="s">
        <v>220</v>
      </c>
      <c r="B4" s="11" t="s">
        <v>202</v>
      </c>
      <c r="C4" s="11" t="s">
        <v>223</v>
      </c>
      <c r="D4" s="11">
        <v>1.6</v>
      </c>
      <c r="E4" s="12">
        <v>60.98</v>
      </c>
      <c r="F4" s="9">
        <f t="shared" si="0"/>
        <v>61.589799999999997</v>
      </c>
      <c r="G4" s="27">
        <f t="shared" si="1"/>
        <v>30.794899999999998</v>
      </c>
      <c r="H4" s="9">
        <f t="shared" si="2"/>
        <v>83.146230000000003</v>
      </c>
    </row>
    <row r="5" spans="1:8" ht="30" customHeight="1" x14ac:dyDescent="0.25">
      <c r="A5" s="11" t="s">
        <v>220</v>
      </c>
      <c r="B5" s="11" t="s">
        <v>11</v>
      </c>
      <c r="C5" s="11" t="s">
        <v>224</v>
      </c>
      <c r="D5" s="11" t="s">
        <v>18</v>
      </c>
      <c r="E5" s="12">
        <v>60.98</v>
      </c>
      <c r="F5" s="9">
        <f t="shared" si="0"/>
        <v>61.589799999999997</v>
      </c>
      <c r="G5" s="27">
        <f t="shared" si="1"/>
        <v>30.794899999999998</v>
      </c>
      <c r="H5" s="9">
        <f t="shared" si="2"/>
        <v>83.146230000000003</v>
      </c>
    </row>
    <row r="6" spans="1:8" ht="30" customHeight="1" x14ac:dyDescent="0.25">
      <c r="A6" s="11" t="s">
        <v>220</v>
      </c>
      <c r="B6" s="11" t="s">
        <v>37</v>
      </c>
      <c r="C6" s="11" t="s">
        <v>225</v>
      </c>
      <c r="D6" s="11">
        <v>1.4</v>
      </c>
      <c r="E6" s="12">
        <v>60.98</v>
      </c>
      <c r="F6" s="9">
        <f t="shared" si="0"/>
        <v>61.589799999999997</v>
      </c>
      <c r="G6" s="27">
        <f t="shared" si="1"/>
        <v>30.794899999999998</v>
      </c>
      <c r="H6" s="9">
        <f t="shared" si="2"/>
        <v>83.146230000000003</v>
      </c>
    </row>
    <row r="7" spans="1:8" ht="30" customHeight="1" x14ac:dyDescent="0.25">
      <c r="A7" s="11" t="s">
        <v>220</v>
      </c>
      <c r="B7" s="11" t="s">
        <v>23</v>
      </c>
      <c r="C7" s="11" t="s">
        <v>226</v>
      </c>
      <c r="D7" s="11">
        <v>1.6</v>
      </c>
      <c r="E7" s="12">
        <v>60.98</v>
      </c>
      <c r="F7" s="9">
        <f t="shared" si="0"/>
        <v>61.589799999999997</v>
      </c>
      <c r="G7" s="27">
        <f t="shared" si="1"/>
        <v>30.794899999999998</v>
      </c>
      <c r="H7" s="9">
        <f t="shared" si="2"/>
        <v>83.146230000000003</v>
      </c>
    </row>
    <row r="8" spans="1:8" ht="30" customHeight="1" x14ac:dyDescent="0.25">
      <c r="A8" s="11" t="s">
        <v>220</v>
      </c>
      <c r="B8" s="11" t="s">
        <v>23</v>
      </c>
      <c r="C8" s="11" t="s">
        <v>227</v>
      </c>
      <c r="D8" s="11">
        <v>1.4</v>
      </c>
      <c r="E8" s="12">
        <v>60.98</v>
      </c>
      <c r="F8" s="9">
        <f t="shared" si="0"/>
        <v>61.589799999999997</v>
      </c>
      <c r="G8" s="27">
        <f t="shared" si="1"/>
        <v>30.794899999999998</v>
      </c>
      <c r="H8" s="9">
        <f t="shared" si="2"/>
        <v>83.146230000000003</v>
      </c>
    </row>
    <row r="9" spans="1:8" ht="30" customHeight="1" x14ac:dyDescent="0.25">
      <c r="A9" s="11" t="s">
        <v>228</v>
      </c>
      <c r="B9" s="11" t="s">
        <v>5</v>
      </c>
      <c r="C9" s="11" t="s">
        <v>229</v>
      </c>
      <c r="D9" s="11">
        <v>1.9</v>
      </c>
      <c r="E9" s="12">
        <v>70.48</v>
      </c>
      <c r="F9" s="9">
        <f t="shared" si="0"/>
        <v>71.18480000000001</v>
      </c>
      <c r="G9" s="27">
        <f t="shared" si="1"/>
        <v>35.592400000000005</v>
      </c>
      <c r="H9" s="9">
        <f t="shared" si="2"/>
        <v>96.099480000000014</v>
      </c>
    </row>
    <row r="10" spans="1:8" ht="30" customHeight="1" x14ac:dyDescent="0.25">
      <c r="A10" s="11" t="s">
        <v>228</v>
      </c>
      <c r="B10" s="11" t="s">
        <v>5</v>
      </c>
      <c r="C10" s="11" t="s">
        <v>230</v>
      </c>
      <c r="D10" s="11"/>
      <c r="E10" s="12">
        <v>70.48</v>
      </c>
      <c r="F10" s="9">
        <f t="shared" si="0"/>
        <v>71.18480000000001</v>
      </c>
      <c r="G10" s="27">
        <f t="shared" si="1"/>
        <v>35.592400000000005</v>
      </c>
      <c r="H10" s="9">
        <f t="shared" si="2"/>
        <v>96.099480000000014</v>
      </c>
    </row>
    <row r="11" spans="1:8" ht="30" customHeight="1" x14ac:dyDescent="0.25">
      <c r="A11" s="11" t="s">
        <v>228</v>
      </c>
      <c r="B11" s="11" t="s">
        <v>5</v>
      </c>
      <c r="C11" s="11" t="s">
        <v>231</v>
      </c>
      <c r="D11" s="11">
        <v>1.8</v>
      </c>
      <c r="E11" s="12">
        <v>70.48</v>
      </c>
      <c r="F11" s="9">
        <f t="shared" si="0"/>
        <v>71.18480000000001</v>
      </c>
      <c r="G11" s="27">
        <f t="shared" si="1"/>
        <v>35.592400000000005</v>
      </c>
      <c r="H11" s="9">
        <f t="shared" si="2"/>
        <v>96.099480000000014</v>
      </c>
    </row>
    <row r="12" spans="1:8" ht="30" customHeight="1" x14ac:dyDescent="0.25">
      <c r="A12" s="11" t="s">
        <v>228</v>
      </c>
      <c r="B12" s="11" t="s">
        <v>5</v>
      </c>
      <c r="C12" s="11" t="s">
        <v>232</v>
      </c>
      <c r="D12" s="11">
        <v>1.6</v>
      </c>
      <c r="E12" s="12">
        <v>70.48</v>
      </c>
      <c r="F12" s="9">
        <f t="shared" si="0"/>
        <v>71.18480000000001</v>
      </c>
      <c r="G12" s="27">
        <f t="shared" si="1"/>
        <v>35.592400000000005</v>
      </c>
      <c r="H12" s="9">
        <f t="shared" si="2"/>
        <v>96.099480000000014</v>
      </c>
    </row>
    <row r="13" spans="1:8" ht="30" customHeight="1" x14ac:dyDescent="0.25">
      <c r="A13" s="11" t="s">
        <v>228</v>
      </c>
      <c r="B13" s="11" t="s">
        <v>7</v>
      </c>
      <c r="C13" s="11" t="s">
        <v>233</v>
      </c>
      <c r="D13" s="11">
        <v>1.3</v>
      </c>
      <c r="E13" s="12">
        <v>70.48</v>
      </c>
      <c r="F13" s="9">
        <f t="shared" si="0"/>
        <v>71.18480000000001</v>
      </c>
      <c r="G13" s="27">
        <f t="shared" si="1"/>
        <v>35.592400000000005</v>
      </c>
      <c r="H13" s="9">
        <f t="shared" si="2"/>
        <v>96.099480000000014</v>
      </c>
    </row>
    <row r="14" spans="1:8" ht="30" customHeight="1" x14ac:dyDescent="0.25">
      <c r="A14" s="11" t="s">
        <v>228</v>
      </c>
      <c r="B14" s="11" t="s">
        <v>7</v>
      </c>
      <c r="C14" s="11" t="s">
        <v>234</v>
      </c>
      <c r="D14" s="11">
        <v>1.6</v>
      </c>
      <c r="E14" s="12">
        <v>70.48</v>
      </c>
      <c r="F14" s="9">
        <f t="shared" si="0"/>
        <v>71.18480000000001</v>
      </c>
      <c r="G14" s="27">
        <f t="shared" si="1"/>
        <v>35.592400000000005</v>
      </c>
      <c r="H14" s="9">
        <f t="shared" si="2"/>
        <v>96.099480000000014</v>
      </c>
    </row>
    <row r="15" spans="1:8" ht="30" customHeight="1" x14ac:dyDescent="0.25">
      <c r="A15" s="11" t="s">
        <v>228</v>
      </c>
      <c r="B15" s="11" t="s">
        <v>33</v>
      </c>
      <c r="C15" s="11" t="s">
        <v>235</v>
      </c>
      <c r="D15" s="11">
        <v>1</v>
      </c>
      <c r="E15" s="12">
        <v>70.48</v>
      </c>
      <c r="F15" s="9">
        <f t="shared" si="0"/>
        <v>71.18480000000001</v>
      </c>
      <c r="G15" s="27">
        <f t="shared" si="1"/>
        <v>35.592400000000005</v>
      </c>
      <c r="H15" s="9">
        <f t="shared" si="2"/>
        <v>96.099480000000014</v>
      </c>
    </row>
    <row r="16" spans="1:8" ht="30" customHeight="1" x14ac:dyDescent="0.25">
      <c r="A16" s="11" t="s">
        <v>228</v>
      </c>
      <c r="B16" s="11" t="s">
        <v>33</v>
      </c>
      <c r="C16" s="11" t="s">
        <v>236</v>
      </c>
      <c r="D16" s="11">
        <v>1.6</v>
      </c>
      <c r="E16" s="12">
        <v>70.48</v>
      </c>
      <c r="F16" s="9">
        <f t="shared" si="0"/>
        <v>71.18480000000001</v>
      </c>
      <c r="G16" s="27">
        <f t="shared" si="1"/>
        <v>35.592400000000005</v>
      </c>
      <c r="H16" s="9">
        <f t="shared" si="2"/>
        <v>96.099480000000014</v>
      </c>
    </row>
    <row r="17" spans="1:8" ht="30" customHeight="1" x14ac:dyDescent="0.25">
      <c r="A17" s="11" t="s">
        <v>228</v>
      </c>
      <c r="B17" s="11" t="s">
        <v>33</v>
      </c>
      <c r="C17" s="11" t="s">
        <v>237</v>
      </c>
      <c r="D17" s="11">
        <v>1.8</v>
      </c>
      <c r="E17" s="12">
        <v>70.48</v>
      </c>
      <c r="F17" s="9">
        <f t="shared" si="0"/>
        <v>71.18480000000001</v>
      </c>
      <c r="G17" s="27">
        <f t="shared" si="1"/>
        <v>35.592400000000005</v>
      </c>
      <c r="H17" s="9">
        <f t="shared" si="2"/>
        <v>96.099480000000014</v>
      </c>
    </row>
    <row r="18" spans="1:8" ht="30" customHeight="1" x14ac:dyDescent="0.25">
      <c r="A18" s="11" t="s">
        <v>228</v>
      </c>
      <c r="B18" s="11" t="s">
        <v>35</v>
      </c>
      <c r="C18" s="11" t="s">
        <v>238</v>
      </c>
      <c r="D18" s="11">
        <v>1.6</v>
      </c>
      <c r="E18" s="12">
        <v>70.48</v>
      </c>
      <c r="F18" s="9">
        <f t="shared" si="0"/>
        <v>71.18480000000001</v>
      </c>
      <c r="G18" s="27">
        <f t="shared" si="1"/>
        <v>35.592400000000005</v>
      </c>
      <c r="H18" s="9">
        <f t="shared" si="2"/>
        <v>96.099480000000014</v>
      </c>
    </row>
    <row r="19" spans="1:8" ht="30" customHeight="1" x14ac:dyDescent="0.25">
      <c r="A19" s="11" t="s">
        <v>228</v>
      </c>
      <c r="B19" s="11" t="s">
        <v>35</v>
      </c>
      <c r="C19" s="11" t="s">
        <v>239</v>
      </c>
      <c r="D19" s="11">
        <v>2</v>
      </c>
      <c r="E19" s="12">
        <v>70.48</v>
      </c>
      <c r="F19" s="9">
        <f t="shared" si="0"/>
        <v>71.18480000000001</v>
      </c>
      <c r="G19" s="27">
        <f t="shared" si="1"/>
        <v>35.592400000000005</v>
      </c>
      <c r="H19" s="9">
        <f t="shared" si="2"/>
        <v>96.099480000000014</v>
      </c>
    </row>
    <row r="20" spans="1:8" ht="30" customHeight="1" x14ac:dyDescent="0.25">
      <c r="A20" s="11" t="s">
        <v>228</v>
      </c>
      <c r="B20" s="11" t="s">
        <v>35</v>
      </c>
      <c r="C20" s="11" t="s">
        <v>240</v>
      </c>
      <c r="D20" s="11">
        <v>1.7</v>
      </c>
      <c r="E20" s="12">
        <v>70.48</v>
      </c>
      <c r="F20" s="9">
        <f t="shared" si="0"/>
        <v>71.18480000000001</v>
      </c>
      <c r="G20" s="27">
        <f t="shared" si="1"/>
        <v>35.592400000000005</v>
      </c>
      <c r="H20" s="9">
        <f t="shared" si="2"/>
        <v>96.099480000000014</v>
      </c>
    </row>
    <row r="21" spans="1:8" ht="30" customHeight="1" x14ac:dyDescent="0.25">
      <c r="A21" s="11" t="s">
        <v>228</v>
      </c>
      <c r="B21" s="11" t="s">
        <v>202</v>
      </c>
      <c r="C21" s="11" t="s">
        <v>241</v>
      </c>
      <c r="D21" s="11"/>
      <c r="E21" s="12">
        <v>70.48</v>
      </c>
      <c r="F21" s="9">
        <f t="shared" si="0"/>
        <v>71.18480000000001</v>
      </c>
      <c r="G21" s="27">
        <f t="shared" si="1"/>
        <v>35.592400000000005</v>
      </c>
      <c r="H21" s="9">
        <f t="shared" si="2"/>
        <v>96.099480000000014</v>
      </c>
    </row>
    <row r="22" spans="1:8" ht="30" customHeight="1" x14ac:dyDescent="0.25">
      <c r="A22" s="11" t="s">
        <v>228</v>
      </c>
      <c r="B22" s="11" t="s">
        <v>162</v>
      </c>
      <c r="C22" s="11" t="s">
        <v>242</v>
      </c>
      <c r="D22" s="11">
        <v>1.8</v>
      </c>
      <c r="E22" s="12">
        <v>70.48</v>
      </c>
      <c r="F22" s="9">
        <f t="shared" si="0"/>
        <v>71.18480000000001</v>
      </c>
      <c r="G22" s="27">
        <f t="shared" si="1"/>
        <v>35.592400000000005</v>
      </c>
      <c r="H22" s="9">
        <f t="shared" si="2"/>
        <v>96.099480000000014</v>
      </c>
    </row>
    <row r="23" spans="1:8" ht="30" customHeight="1" x14ac:dyDescent="0.25">
      <c r="A23" s="11" t="s">
        <v>228</v>
      </c>
      <c r="B23" s="11" t="s">
        <v>124</v>
      </c>
      <c r="C23" s="11" t="s">
        <v>243</v>
      </c>
      <c r="D23" s="11">
        <v>1.5</v>
      </c>
      <c r="E23" s="12">
        <v>70.48</v>
      </c>
      <c r="F23" s="9">
        <f t="shared" si="0"/>
        <v>71.18480000000001</v>
      </c>
      <c r="G23" s="27">
        <f t="shared" si="1"/>
        <v>35.592400000000005</v>
      </c>
      <c r="H23" s="9">
        <f t="shared" si="2"/>
        <v>96.099480000000014</v>
      </c>
    </row>
    <row r="24" spans="1:8" ht="30" customHeight="1" x14ac:dyDescent="0.25">
      <c r="A24" s="11" t="s">
        <v>228</v>
      </c>
      <c r="B24" s="11" t="s">
        <v>11</v>
      </c>
      <c r="C24" s="11" t="s">
        <v>244</v>
      </c>
      <c r="D24" s="11">
        <v>1.6</v>
      </c>
      <c r="E24" s="12">
        <v>70.48</v>
      </c>
      <c r="F24" s="9">
        <f t="shared" si="0"/>
        <v>71.18480000000001</v>
      </c>
      <c r="G24" s="27">
        <f t="shared" si="1"/>
        <v>35.592400000000005</v>
      </c>
      <c r="H24" s="9">
        <f t="shared" si="2"/>
        <v>96.099480000000014</v>
      </c>
    </row>
    <row r="25" spans="1:8" ht="30" customHeight="1" x14ac:dyDescent="0.25">
      <c r="A25" s="11" t="s">
        <v>228</v>
      </c>
      <c r="B25" s="11" t="s">
        <v>13</v>
      </c>
      <c r="C25" s="11" t="s">
        <v>245</v>
      </c>
      <c r="D25" s="11">
        <v>1.6</v>
      </c>
      <c r="E25" s="12">
        <v>70.48</v>
      </c>
      <c r="F25" s="9">
        <f t="shared" si="0"/>
        <v>71.18480000000001</v>
      </c>
      <c r="G25" s="27">
        <f t="shared" si="1"/>
        <v>35.592400000000005</v>
      </c>
      <c r="H25" s="9">
        <f t="shared" si="2"/>
        <v>96.099480000000014</v>
      </c>
    </row>
    <row r="26" spans="1:8" ht="30" customHeight="1" x14ac:dyDescent="0.25">
      <c r="A26" s="11" t="s">
        <v>228</v>
      </c>
      <c r="B26" s="11" t="s">
        <v>37</v>
      </c>
      <c r="C26" s="11" t="s">
        <v>246</v>
      </c>
      <c r="D26" s="11">
        <v>1.5</v>
      </c>
      <c r="E26" s="12">
        <v>70.48</v>
      </c>
      <c r="F26" s="9">
        <f t="shared" si="0"/>
        <v>71.18480000000001</v>
      </c>
      <c r="G26" s="27">
        <f t="shared" si="1"/>
        <v>35.592400000000005</v>
      </c>
      <c r="H26" s="9">
        <f t="shared" si="2"/>
        <v>96.099480000000014</v>
      </c>
    </row>
    <row r="27" spans="1:8" ht="30" customHeight="1" x14ac:dyDescent="0.25">
      <c r="A27" s="11" t="s">
        <v>228</v>
      </c>
      <c r="B27" s="11" t="s">
        <v>37</v>
      </c>
      <c r="C27" s="11" t="s">
        <v>247</v>
      </c>
      <c r="D27" s="11">
        <v>1.4</v>
      </c>
      <c r="E27" s="12">
        <v>70.48</v>
      </c>
      <c r="F27" s="9">
        <f t="shared" si="0"/>
        <v>71.18480000000001</v>
      </c>
      <c r="G27" s="27">
        <f t="shared" si="1"/>
        <v>35.592400000000005</v>
      </c>
      <c r="H27" s="9">
        <f t="shared" si="2"/>
        <v>96.099480000000014</v>
      </c>
    </row>
    <row r="28" spans="1:8" ht="30" customHeight="1" x14ac:dyDescent="0.25">
      <c r="A28" s="11" t="s">
        <v>228</v>
      </c>
      <c r="B28" s="11" t="s">
        <v>37</v>
      </c>
      <c r="C28" s="11" t="s">
        <v>248</v>
      </c>
      <c r="D28" s="11">
        <v>1.6</v>
      </c>
      <c r="E28" s="12">
        <v>70.48</v>
      </c>
      <c r="F28" s="9">
        <f t="shared" si="0"/>
        <v>71.18480000000001</v>
      </c>
      <c r="G28" s="27">
        <f t="shared" si="1"/>
        <v>35.592400000000005</v>
      </c>
      <c r="H28" s="9">
        <f t="shared" si="2"/>
        <v>96.099480000000014</v>
      </c>
    </row>
    <row r="29" spans="1:8" ht="30" customHeight="1" x14ac:dyDescent="0.25">
      <c r="A29" s="11" t="s">
        <v>228</v>
      </c>
      <c r="B29" s="11" t="s">
        <v>23</v>
      </c>
      <c r="C29" s="11" t="s">
        <v>249</v>
      </c>
      <c r="D29" s="11">
        <v>1.7</v>
      </c>
      <c r="E29" s="12">
        <v>70.48</v>
      </c>
      <c r="F29" s="9">
        <f t="shared" si="0"/>
        <v>71.18480000000001</v>
      </c>
      <c r="G29" s="27">
        <f t="shared" si="1"/>
        <v>35.592400000000005</v>
      </c>
      <c r="H29" s="9">
        <f t="shared" si="2"/>
        <v>96.099480000000014</v>
      </c>
    </row>
    <row r="30" spans="1:8" ht="30" customHeight="1" x14ac:dyDescent="0.25">
      <c r="A30" s="11" t="s">
        <v>228</v>
      </c>
      <c r="B30" s="11" t="s">
        <v>23</v>
      </c>
      <c r="C30" s="11" t="s">
        <v>250</v>
      </c>
      <c r="D30" s="11">
        <v>1.8</v>
      </c>
      <c r="E30" s="12">
        <v>70.48</v>
      </c>
      <c r="F30" s="9">
        <f t="shared" si="0"/>
        <v>71.18480000000001</v>
      </c>
      <c r="G30" s="27">
        <f t="shared" si="1"/>
        <v>35.592400000000005</v>
      </c>
      <c r="H30" s="9">
        <f t="shared" si="2"/>
        <v>96.099480000000014</v>
      </c>
    </row>
    <row r="31" spans="1:8" ht="30" customHeight="1" x14ac:dyDescent="0.25">
      <c r="A31" s="11" t="s">
        <v>228</v>
      </c>
      <c r="B31" s="11" t="s">
        <v>23</v>
      </c>
      <c r="C31" s="11" t="s">
        <v>251</v>
      </c>
      <c r="D31" s="11">
        <v>1.6</v>
      </c>
      <c r="E31" s="12">
        <v>70.48</v>
      </c>
      <c r="F31" s="9">
        <f t="shared" si="0"/>
        <v>71.18480000000001</v>
      </c>
      <c r="G31" s="27">
        <f t="shared" si="1"/>
        <v>35.592400000000005</v>
      </c>
      <c r="H31" s="9">
        <f t="shared" si="2"/>
        <v>96.099480000000014</v>
      </c>
    </row>
    <row r="32" spans="1:8" ht="30" customHeight="1" x14ac:dyDescent="0.25">
      <c r="A32" s="11" t="s">
        <v>228</v>
      </c>
      <c r="B32" s="11" t="s">
        <v>23</v>
      </c>
      <c r="C32" s="11" t="s">
        <v>252</v>
      </c>
      <c r="D32" s="11">
        <v>2</v>
      </c>
      <c r="E32" s="12">
        <v>70.48</v>
      </c>
      <c r="F32" s="9">
        <f t="shared" si="0"/>
        <v>71.18480000000001</v>
      </c>
      <c r="G32" s="27">
        <f t="shared" si="1"/>
        <v>35.592400000000005</v>
      </c>
      <c r="H32" s="9">
        <f t="shared" si="2"/>
        <v>96.099480000000014</v>
      </c>
    </row>
    <row r="33" spans="1:8" ht="30" customHeight="1" x14ac:dyDescent="0.25">
      <c r="A33" s="11" t="s">
        <v>228</v>
      </c>
      <c r="B33" s="11" t="s">
        <v>23</v>
      </c>
      <c r="C33" s="11" t="s">
        <v>253</v>
      </c>
      <c r="D33" s="11">
        <v>1.4</v>
      </c>
      <c r="E33" s="12">
        <v>70.48</v>
      </c>
      <c r="F33" s="9">
        <f t="shared" si="0"/>
        <v>71.18480000000001</v>
      </c>
      <c r="G33" s="27">
        <f t="shared" si="1"/>
        <v>35.592400000000005</v>
      </c>
      <c r="H33" s="9">
        <f t="shared" si="2"/>
        <v>96.099480000000014</v>
      </c>
    </row>
    <row r="34" spans="1:8" ht="30" customHeight="1" x14ac:dyDescent="0.25">
      <c r="A34" s="11" t="s">
        <v>228</v>
      </c>
      <c r="B34" s="11" t="s">
        <v>23</v>
      </c>
      <c r="C34" s="11" t="s">
        <v>254</v>
      </c>
      <c r="D34" s="11">
        <v>1.8</v>
      </c>
      <c r="E34" s="12">
        <v>70.48</v>
      </c>
      <c r="F34" s="9">
        <f t="shared" si="0"/>
        <v>71.18480000000001</v>
      </c>
      <c r="G34" s="27">
        <f t="shared" si="1"/>
        <v>35.592400000000005</v>
      </c>
      <c r="H34" s="9">
        <f t="shared" si="2"/>
        <v>96.099480000000014</v>
      </c>
    </row>
    <row r="35" spans="1:8" ht="30" customHeight="1" x14ac:dyDescent="0.25">
      <c r="A35" s="11" t="s">
        <v>228</v>
      </c>
      <c r="B35" s="11" t="s">
        <v>23</v>
      </c>
      <c r="C35" s="11" t="s">
        <v>255</v>
      </c>
      <c r="D35" s="11">
        <v>1.9</v>
      </c>
      <c r="E35" s="12">
        <v>70.48</v>
      </c>
      <c r="F35" s="9">
        <f t="shared" si="0"/>
        <v>71.18480000000001</v>
      </c>
      <c r="G35" s="27">
        <f t="shared" si="1"/>
        <v>35.592400000000005</v>
      </c>
      <c r="H35" s="9">
        <f t="shared" si="2"/>
        <v>96.099480000000014</v>
      </c>
    </row>
    <row r="36" spans="1:8" ht="30" customHeight="1" x14ac:dyDescent="0.25">
      <c r="A36" s="11" t="s">
        <v>228</v>
      </c>
      <c r="B36" s="11" t="s">
        <v>25</v>
      </c>
      <c r="C36" s="11" t="s">
        <v>256</v>
      </c>
      <c r="D36" s="11">
        <v>1.4</v>
      </c>
      <c r="E36" s="12">
        <v>70.48</v>
      </c>
      <c r="F36" s="9">
        <f t="shared" si="0"/>
        <v>71.18480000000001</v>
      </c>
      <c r="G36" s="27">
        <f t="shared" si="1"/>
        <v>35.592400000000005</v>
      </c>
      <c r="H36" s="9">
        <f t="shared" si="2"/>
        <v>96.099480000000014</v>
      </c>
    </row>
    <row r="37" spans="1:8" ht="30" customHeight="1" x14ac:dyDescent="0.25">
      <c r="A37" s="11" t="s">
        <v>228</v>
      </c>
      <c r="B37" s="11" t="s">
        <v>25</v>
      </c>
      <c r="C37" s="11" t="s">
        <v>257</v>
      </c>
      <c r="D37" s="11">
        <v>1.6</v>
      </c>
      <c r="E37" s="12">
        <v>70.48</v>
      </c>
      <c r="F37" s="9">
        <f t="shared" si="0"/>
        <v>71.18480000000001</v>
      </c>
      <c r="G37" s="27">
        <f t="shared" si="1"/>
        <v>35.592400000000005</v>
      </c>
      <c r="H37" s="9">
        <f t="shared" si="2"/>
        <v>96.099480000000014</v>
      </c>
    </row>
    <row r="38" spans="1:8" ht="30" customHeight="1" x14ac:dyDescent="0.25">
      <c r="A38" s="11" t="s">
        <v>228</v>
      </c>
      <c r="B38" s="11" t="s">
        <v>25</v>
      </c>
      <c r="C38" s="11" t="s">
        <v>258</v>
      </c>
      <c r="D38" s="11">
        <v>1.4</v>
      </c>
      <c r="E38" s="12">
        <v>70.48</v>
      </c>
      <c r="F38" s="9">
        <f t="shared" si="0"/>
        <v>71.18480000000001</v>
      </c>
      <c r="G38" s="27">
        <f t="shared" si="1"/>
        <v>35.592400000000005</v>
      </c>
      <c r="H38" s="9">
        <f t="shared" si="2"/>
        <v>96.099480000000014</v>
      </c>
    </row>
    <row r="39" spans="1:8" ht="30" customHeight="1" x14ac:dyDescent="0.25">
      <c r="A39" s="11" t="s">
        <v>228</v>
      </c>
      <c r="B39" s="11" t="s">
        <v>25</v>
      </c>
      <c r="C39" s="11" t="s">
        <v>259</v>
      </c>
      <c r="D39" s="11">
        <v>1.6</v>
      </c>
      <c r="E39" s="12">
        <v>70.48</v>
      </c>
      <c r="F39" s="9">
        <f t="shared" si="0"/>
        <v>71.18480000000001</v>
      </c>
      <c r="G39" s="27">
        <f t="shared" si="1"/>
        <v>35.592400000000005</v>
      </c>
      <c r="H39" s="9">
        <f t="shared" si="2"/>
        <v>96.099480000000014</v>
      </c>
    </row>
    <row r="40" spans="1:8" ht="30" customHeight="1" x14ac:dyDescent="0.25">
      <c r="A40" s="11" t="s">
        <v>260</v>
      </c>
      <c r="B40" s="11" t="s">
        <v>5</v>
      </c>
      <c r="C40" s="11" t="s">
        <v>261</v>
      </c>
      <c r="D40" s="11">
        <v>2</v>
      </c>
      <c r="E40" s="12">
        <v>80.37</v>
      </c>
      <c r="F40" s="9">
        <f t="shared" si="0"/>
        <v>81.173700000000011</v>
      </c>
      <c r="G40" s="27">
        <f t="shared" si="1"/>
        <v>40.586850000000005</v>
      </c>
      <c r="H40" s="9">
        <f t="shared" si="2"/>
        <v>109.58449500000002</v>
      </c>
    </row>
    <row r="41" spans="1:8" ht="30" customHeight="1" x14ac:dyDescent="0.25">
      <c r="A41" s="11" t="s">
        <v>260</v>
      </c>
      <c r="B41" s="11" t="s">
        <v>5</v>
      </c>
      <c r="C41" s="11" t="s">
        <v>262</v>
      </c>
      <c r="D41" s="11">
        <v>2</v>
      </c>
      <c r="E41" s="12">
        <v>80.37</v>
      </c>
      <c r="F41" s="9">
        <f t="shared" si="0"/>
        <v>81.173700000000011</v>
      </c>
      <c r="G41" s="27">
        <f t="shared" si="1"/>
        <v>40.586850000000005</v>
      </c>
      <c r="H41" s="9">
        <f t="shared" si="2"/>
        <v>109.58449500000002</v>
      </c>
    </row>
    <row r="42" spans="1:8" ht="30" customHeight="1" x14ac:dyDescent="0.25">
      <c r="A42" s="11" t="s">
        <v>260</v>
      </c>
      <c r="B42" s="11" t="s">
        <v>33</v>
      </c>
      <c r="C42" s="11" t="s">
        <v>263</v>
      </c>
      <c r="D42" s="11">
        <v>1.6</v>
      </c>
      <c r="E42" s="12">
        <v>80.37</v>
      </c>
      <c r="F42" s="9">
        <f t="shared" si="0"/>
        <v>81.173700000000011</v>
      </c>
      <c r="G42" s="27">
        <f t="shared" si="1"/>
        <v>40.586850000000005</v>
      </c>
      <c r="H42" s="9">
        <f t="shared" si="2"/>
        <v>109.58449500000002</v>
      </c>
    </row>
    <row r="43" spans="1:8" ht="30" customHeight="1" x14ac:dyDescent="0.25">
      <c r="A43" s="11" t="s">
        <v>260</v>
      </c>
      <c r="B43" s="11" t="s">
        <v>33</v>
      </c>
      <c r="C43" s="11" t="s">
        <v>264</v>
      </c>
      <c r="D43" s="11">
        <v>2</v>
      </c>
      <c r="E43" s="12">
        <v>80.37</v>
      </c>
      <c r="F43" s="9">
        <f t="shared" si="0"/>
        <v>81.173700000000011</v>
      </c>
      <c r="G43" s="27">
        <f t="shared" si="1"/>
        <v>40.586850000000005</v>
      </c>
      <c r="H43" s="9">
        <f t="shared" si="2"/>
        <v>109.58449500000002</v>
      </c>
    </row>
    <row r="44" spans="1:8" ht="30" customHeight="1" x14ac:dyDescent="0.25">
      <c r="A44" s="11" t="s">
        <v>260</v>
      </c>
      <c r="B44" s="11" t="s">
        <v>33</v>
      </c>
      <c r="C44" s="11" t="s">
        <v>265</v>
      </c>
      <c r="D44" s="11">
        <v>1.8</v>
      </c>
      <c r="E44" s="12">
        <v>80.37</v>
      </c>
      <c r="F44" s="9">
        <f t="shared" si="0"/>
        <v>81.173700000000011</v>
      </c>
      <c r="G44" s="27">
        <f t="shared" si="1"/>
        <v>40.586850000000005</v>
      </c>
      <c r="H44" s="9">
        <f t="shared" si="2"/>
        <v>109.58449500000002</v>
      </c>
    </row>
    <row r="45" spans="1:8" ht="30" customHeight="1" x14ac:dyDescent="0.25">
      <c r="A45" s="11" t="s">
        <v>260</v>
      </c>
      <c r="B45" s="11" t="s">
        <v>49</v>
      </c>
      <c r="C45" s="11" t="s">
        <v>266</v>
      </c>
      <c r="D45" s="11">
        <v>2</v>
      </c>
      <c r="E45" s="12">
        <v>80.37</v>
      </c>
      <c r="F45" s="9">
        <f t="shared" si="0"/>
        <v>81.173700000000011</v>
      </c>
      <c r="G45" s="27">
        <f t="shared" si="1"/>
        <v>40.586850000000005</v>
      </c>
      <c r="H45" s="9">
        <f t="shared" si="2"/>
        <v>109.58449500000002</v>
      </c>
    </row>
    <row r="46" spans="1:8" ht="30" customHeight="1" x14ac:dyDescent="0.25">
      <c r="A46" s="11" t="s">
        <v>260</v>
      </c>
      <c r="B46" s="11" t="s">
        <v>49</v>
      </c>
      <c r="C46" s="11" t="s">
        <v>267</v>
      </c>
      <c r="D46" s="11">
        <v>2</v>
      </c>
      <c r="E46" s="12">
        <v>80.37</v>
      </c>
      <c r="F46" s="9">
        <f t="shared" si="0"/>
        <v>81.173700000000011</v>
      </c>
      <c r="G46" s="27">
        <f t="shared" si="1"/>
        <v>40.586850000000005</v>
      </c>
      <c r="H46" s="9">
        <f t="shared" si="2"/>
        <v>109.58449500000002</v>
      </c>
    </row>
    <row r="47" spans="1:8" ht="30" customHeight="1" x14ac:dyDescent="0.25">
      <c r="A47" s="11" t="s">
        <v>260</v>
      </c>
      <c r="B47" s="11" t="s">
        <v>11</v>
      </c>
      <c r="C47" s="11" t="s">
        <v>268</v>
      </c>
      <c r="D47" s="11" t="s">
        <v>18</v>
      </c>
      <c r="E47" s="12">
        <v>80.37</v>
      </c>
      <c r="F47" s="9">
        <f t="shared" si="0"/>
        <v>81.173700000000011</v>
      </c>
      <c r="G47" s="27">
        <f t="shared" si="1"/>
        <v>40.586850000000005</v>
      </c>
      <c r="H47" s="9">
        <f t="shared" si="2"/>
        <v>109.58449500000002</v>
      </c>
    </row>
    <row r="48" spans="1:8" ht="30" customHeight="1" x14ac:dyDescent="0.25">
      <c r="A48" s="11" t="s">
        <v>260</v>
      </c>
      <c r="B48" s="11" t="s">
        <v>11</v>
      </c>
      <c r="C48" s="11" t="s">
        <v>269</v>
      </c>
      <c r="D48" s="11">
        <v>2</v>
      </c>
      <c r="E48" s="12">
        <v>80.37</v>
      </c>
      <c r="F48" s="9">
        <f t="shared" si="0"/>
        <v>81.173700000000011</v>
      </c>
      <c r="G48" s="27">
        <f t="shared" si="1"/>
        <v>40.586850000000005</v>
      </c>
      <c r="H48" s="9">
        <f t="shared" si="2"/>
        <v>109.58449500000002</v>
      </c>
    </row>
    <row r="49" spans="1:8" ht="30" customHeight="1" x14ac:dyDescent="0.25">
      <c r="A49" s="11" t="s">
        <v>260</v>
      </c>
      <c r="B49" s="11" t="s">
        <v>11</v>
      </c>
      <c r="C49" s="11" t="s">
        <v>270</v>
      </c>
      <c r="D49" s="11">
        <v>2</v>
      </c>
      <c r="E49" s="12">
        <v>80.37</v>
      </c>
      <c r="F49" s="9">
        <f t="shared" si="0"/>
        <v>81.173700000000011</v>
      </c>
      <c r="G49" s="27">
        <f t="shared" si="1"/>
        <v>40.586850000000005</v>
      </c>
      <c r="H49" s="9">
        <f t="shared" si="2"/>
        <v>109.58449500000002</v>
      </c>
    </row>
    <row r="50" spans="1:8" ht="30" customHeight="1" x14ac:dyDescent="0.25">
      <c r="A50" s="11" t="s">
        <v>260</v>
      </c>
      <c r="B50" s="11" t="s">
        <v>13</v>
      </c>
      <c r="C50" s="11" t="s">
        <v>271</v>
      </c>
      <c r="D50" s="11">
        <v>1.6</v>
      </c>
      <c r="E50" s="12">
        <v>80.37</v>
      </c>
      <c r="F50" s="9">
        <f t="shared" si="0"/>
        <v>81.173700000000011</v>
      </c>
      <c r="G50" s="27">
        <f t="shared" si="1"/>
        <v>40.586850000000005</v>
      </c>
      <c r="H50" s="9">
        <f t="shared" si="2"/>
        <v>109.58449500000002</v>
      </c>
    </row>
    <row r="51" spans="1:8" ht="30" customHeight="1" x14ac:dyDescent="0.25">
      <c r="A51" s="11" t="s">
        <v>260</v>
      </c>
      <c r="B51" s="11" t="s">
        <v>13</v>
      </c>
      <c r="C51" s="11" t="s">
        <v>272</v>
      </c>
      <c r="D51" s="11" t="s">
        <v>18</v>
      </c>
      <c r="E51" s="12">
        <v>80.37</v>
      </c>
      <c r="F51" s="9">
        <f t="shared" si="0"/>
        <v>81.173700000000011</v>
      </c>
      <c r="G51" s="27">
        <f t="shared" si="1"/>
        <v>40.586850000000005</v>
      </c>
      <c r="H51" s="9">
        <f t="shared" si="2"/>
        <v>109.58449500000002</v>
      </c>
    </row>
    <row r="52" spans="1:8" ht="30" customHeight="1" x14ac:dyDescent="0.25">
      <c r="A52" s="11" t="s">
        <v>260</v>
      </c>
      <c r="B52" s="11" t="s">
        <v>37</v>
      </c>
      <c r="C52" s="11" t="s">
        <v>273</v>
      </c>
      <c r="D52" s="11">
        <v>1.9</v>
      </c>
      <c r="E52" s="12">
        <v>80.37</v>
      </c>
      <c r="F52" s="9">
        <f t="shared" si="0"/>
        <v>81.173700000000011</v>
      </c>
      <c r="G52" s="27">
        <f t="shared" si="1"/>
        <v>40.586850000000005</v>
      </c>
      <c r="H52" s="9">
        <f t="shared" si="2"/>
        <v>109.58449500000002</v>
      </c>
    </row>
    <row r="53" spans="1:8" ht="30" customHeight="1" x14ac:dyDescent="0.25">
      <c r="A53" s="11" t="s">
        <v>260</v>
      </c>
      <c r="B53" s="11" t="s">
        <v>37</v>
      </c>
      <c r="C53" s="11" t="s">
        <v>274</v>
      </c>
      <c r="D53" s="11">
        <v>2</v>
      </c>
      <c r="E53" s="12">
        <v>80.37</v>
      </c>
      <c r="F53" s="9">
        <f t="shared" si="0"/>
        <v>81.173700000000011</v>
      </c>
      <c r="G53" s="27">
        <f t="shared" si="1"/>
        <v>40.586850000000005</v>
      </c>
      <c r="H53" s="9">
        <f t="shared" si="2"/>
        <v>109.58449500000002</v>
      </c>
    </row>
    <row r="54" spans="1:8" ht="30" customHeight="1" x14ac:dyDescent="0.25">
      <c r="A54" s="11" t="s">
        <v>260</v>
      </c>
      <c r="B54" s="11" t="s">
        <v>23</v>
      </c>
      <c r="C54" s="11" t="s">
        <v>275</v>
      </c>
      <c r="D54" s="11">
        <v>2.2000000000000002</v>
      </c>
      <c r="E54" s="12">
        <v>80.37</v>
      </c>
      <c r="F54" s="9">
        <f t="shared" si="0"/>
        <v>81.173700000000011</v>
      </c>
      <c r="G54" s="27">
        <f t="shared" si="1"/>
        <v>40.586850000000005</v>
      </c>
      <c r="H54" s="9">
        <f t="shared" si="2"/>
        <v>109.58449500000002</v>
      </c>
    </row>
    <row r="55" spans="1:8" ht="30" customHeight="1" x14ac:dyDescent="0.25">
      <c r="A55" s="11" t="s">
        <v>260</v>
      </c>
      <c r="B55" s="11" t="s">
        <v>23</v>
      </c>
      <c r="C55" s="11" t="s">
        <v>276</v>
      </c>
      <c r="D55" s="11">
        <v>1.9</v>
      </c>
      <c r="E55" s="12">
        <v>80.37</v>
      </c>
      <c r="F55" s="9">
        <f t="shared" si="0"/>
        <v>81.173700000000011</v>
      </c>
      <c r="G55" s="27">
        <f t="shared" si="1"/>
        <v>40.586850000000005</v>
      </c>
      <c r="H55" s="9">
        <f t="shared" si="2"/>
        <v>109.58449500000002</v>
      </c>
    </row>
    <row r="56" spans="1:8" ht="30" customHeight="1" x14ac:dyDescent="0.25">
      <c r="A56" s="11" t="s">
        <v>260</v>
      </c>
      <c r="B56" s="11" t="s">
        <v>23</v>
      </c>
      <c r="C56" s="11" t="s">
        <v>277</v>
      </c>
      <c r="D56" s="11">
        <v>2</v>
      </c>
      <c r="E56" s="12">
        <v>80.37</v>
      </c>
      <c r="F56" s="9">
        <f t="shared" si="0"/>
        <v>81.173700000000011</v>
      </c>
      <c r="G56" s="27">
        <f t="shared" si="1"/>
        <v>40.586850000000005</v>
      </c>
      <c r="H56" s="9">
        <f t="shared" si="2"/>
        <v>109.58449500000002</v>
      </c>
    </row>
    <row r="57" spans="1:8" ht="30" customHeight="1" x14ac:dyDescent="0.25">
      <c r="A57" s="11" t="s">
        <v>260</v>
      </c>
      <c r="B57" s="11" t="s">
        <v>23</v>
      </c>
      <c r="C57" s="11" t="s">
        <v>278</v>
      </c>
      <c r="D57" s="11" t="s">
        <v>18</v>
      </c>
      <c r="E57" s="12">
        <v>80.37</v>
      </c>
      <c r="F57" s="9">
        <f t="shared" si="0"/>
        <v>81.173700000000011</v>
      </c>
      <c r="G57" s="27">
        <f t="shared" si="1"/>
        <v>40.586850000000005</v>
      </c>
      <c r="H57" s="9">
        <f t="shared" si="2"/>
        <v>109.58449500000002</v>
      </c>
    </row>
    <row r="58" spans="1:8" ht="30" customHeight="1" x14ac:dyDescent="0.25">
      <c r="A58" s="11" t="s">
        <v>260</v>
      </c>
      <c r="B58" s="11" t="s">
        <v>25</v>
      </c>
      <c r="C58" s="11" t="s">
        <v>279</v>
      </c>
      <c r="D58" s="11">
        <v>1.9</v>
      </c>
      <c r="E58" s="12">
        <v>80.37</v>
      </c>
      <c r="F58" s="9">
        <f t="shared" si="0"/>
        <v>81.173700000000011</v>
      </c>
      <c r="G58" s="27">
        <f t="shared" si="1"/>
        <v>40.586850000000005</v>
      </c>
      <c r="H58" s="9">
        <f t="shared" si="2"/>
        <v>109.58449500000002</v>
      </c>
    </row>
    <row r="59" spans="1:8" ht="30" customHeight="1" x14ac:dyDescent="0.25">
      <c r="A59" s="11" t="s">
        <v>260</v>
      </c>
      <c r="B59" s="11" t="s">
        <v>25</v>
      </c>
      <c r="C59" s="11" t="s">
        <v>280</v>
      </c>
      <c r="D59" s="11">
        <v>1.4</v>
      </c>
      <c r="E59" s="12">
        <v>80.37</v>
      </c>
      <c r="F59" s="9">
        <f t="shared" si="0"/>
        <v>81.173700000000011</v>
      </c>
      <c r="G59" s="27">
        <f t="shared" si="1"/>
        <v>40.586850000000005</v>
      </c>
      <c r="H59" s="9">
        <f t="shared" si="2"/>
        <v>109.58449500000002</v>
      </c>
    </row>
    <row r="60" spans="1:8" ht="30" customHeight="1" x14ac:dyDescent="0.25">
      <c r="A60" s="11" t="s">
        <v>260</v>
      </c>
      <c r="B60" s="11" t="s">
        <v>25</v>
      </c>
      <c r="C60" s="11" t="s">
        <v>281</v>
      </c>
      <c r="D60" s="11">
        <v>2</v>
      </c>
      <c r="E60" s="12">
        <v>80.37</v>
      </c>
      <c r="F60" s="9">
        <f t="shared" si="0"/>
        <v>81.173700000000011</v>
      </c>
      <c r="G60" s="27">
        <f t="shared" si="1"/>
        <v>40.586850000000005</v>
      </c>
      <c r="H60" s="9">
        <f t="shared" si="2"/>
        <v>109.58449500000002</v>
      </c>
    </row>
    <row r="61" spans="1:8" ht="30" customHeight="1" x14ac:dyDescent="0.25">
      <c r="A61" s="11" t="s">
        <v>260</v>
      </c>
      <c r="B61" s="11" t="s">
        <v>25</v>
      </c>
      <c r="C61" s="11" t="s">
        <v>282</v>
      </c>
      <c r="D61" s="11">
        <v>1.9</v>
      </c>
      <c r="E61" s="12">
        <v>80.37</v>
      </c>
      <c r="F61" s="9">
        <f t="shared" si="0"/>
        <v>81.173700000000011</v>
      </c>
      <c r="G61" s="27">
        <f t="shared" si="1"/>
        <v>40.586850000000005</v>
      </c>
      <c r="H61" s="9">
        <f t="shared" si="2"/>
        <v>109.58449500000002</v>
      </c>
    </row>
    <row r="62" spans="1:8" ht="30" customHeight="1" x14ac:dyDescent="0.25">
      <c r="A62" s="11" t="s">
        <v>260</v>
      </c>
      <c r="B62" s="11" t="s">
        <v>25</v>
      </c>
      <c r="C62" s="11" t="s">
        <v>283</v>
      </c>
      <c r="D62" s="11">
        <v>2</v>
      </c>
      <c r="E62" s="12">
        <v>80.37</v>
      </c>
      <c r="F62" s="9">
        <f t="shared" si="0"/>
        <v>81.173700000000011</v>
      </c>
      <c r="G62" s="27">
        <f t="shared" si="1"/>
        <v>40.586850000000005</v>
      </c>
      <c r="H62" s="9">
        <f t="shared" si="2"/>
        <v>109.58449500000002</v>
      </c>
    </row>
    <row r="63" spans="1:8" ht="30" customHeight="1" x14ac:dyDescent="0.25">
      <c r="A63" s="11" t="s">
        <v>284</v>
      </c>
      <c r="B63" s="11" t="s">
        <v>25</v>
      </c>
      <c r="C63" s="11" t="s">
        <v>285</v>
      </c>
      <c r="D63" s="11">
        <v>2</v>
      </c>
      <c r="E63" s="12">
        <v>94.46</v>
      </c>
      <c r="F63" s="9">
        <f t="shared" si="0"/>
        <v>95.404599999999988</v>
      </c>
      <c r="G63" s="27">
        <f t="shared" si="1"/>
        <v>47.702299999999994</v>
      </c>
      <c r="H63" s="9">
        <f t="shared" si="2"/>
        <v>128.79621</v>
      </c>
    </row>
    <row r="64" spans="1:8" ht="30" customHeight="1" x14ac:dyDescent="0.25">
      <c r="A64" s="11" t="s">
        <v>284</v>
      </c>
      <c r="B64" s="11" t="s">
        <v>5</v>
      </c>
      <c r="C64" s="11" t="s">
        <v>286</v>
      </c>
      <c r="D64" s="11">
        <v>2</v>
      </c>
      <c r="E64" s="12">
        <v>94.36</v>
      </c>
      <c r="F64" s="9">
        <f t="shared" si="0"/>
        <v>95.303600000000003</v>
      </c>
      <c r="G64" s="27">
        <f t="shared" si="1"/>
        <v>47.651800000000001</v>
      </c>
      <c r="H64" s="9">
        <f t="shared" si="2"/>
        <v>128.65986000000001</v>
      </c>
    </row>
    <row r="65" spans="1:8" ht="30" customHeight="1" x14ac:dyDescent="0.25">
      <c r="A65" s="11" t="s">
        <v>284</v>
      </c>
      <c r="B65" s="11" t="s">
        <v>33</v>
      </c>
      <c r="C65" s="11" t="s">
        <v>287</v>
      </c>
      <c r="D65" s="11">
        <v>1.9</v>
      </c>
      <c r="E65" s="12">
        <v>94.36</v>
      </c>
      <c r="F65" s="9">
        <f t="shared" si="0"/>
        <v>95.303600000000003</v>
      </c>
      <c r="G65" s="27">
        <f t="shared" si="1"/>
        <v>47.651800000000001</v>
      </c>
      <c r="H65" s="9">
        <f t="shared" si="2"/>
        <v>128.65986000000001</v>
      </c>
    </row>
    <row r="66" spans="1:8" ht="30" customHeight="1" x14ac:dyDescent="0.25">
      <c r="A66" s="11" t="s">
        <v>284</v>
      </c>
      <c r="B66" s="11" t="s">
        <v>33</v>
      </c>
      <c r="C66" s="11" t="s">
        <v>288</v>
      </c>
      <c r="D66" s="11">
        <v>2.9</v>
      </c>
      <c r="E66" s="12">
        <v>94.36</v>
      </c>
      <c r="F66" s="9">
        <f t="shared" si="0"/>
        <v>95.303600000000003</v>
      </c>
      <c r="G66" s="27">
        <f t="shared" si="1"/>
        <v>47.651800000000001</v>
      </c>
      <c r="H66" s="9">
        <f t="shared" si="2"/>
        <v>128.65986000000001</v>
      </c>
    </row>
    <row r="67" spans="1:8" ht="30" customHeight="1" x14ac:dyDescent="0.25">
      <c r="A67" s="11" t="s">
        <v>284</v>
      </c>
      <c r="B67" s="11" t="s">
        <v>202</v>
      </c>
      <c r="C67" s="11" t="s">
        <v>289</v>
      </c>
      <c r="D67" s="11">
        <v>2</v>
      </c>
      <c r="E67" s="12">
        <v>94.36</v>
      </c>
      <c r="F67" s="9">
        <f t="shared" ref="F67:F92" si="3">E67*1.01</f>
        <v>95.303600000000003</v>
      </c>
      <c r="G67" s="27">
        <f t="shared" ref="G67:G92" si="4">F67/2</f>
        <v>47.651800000000001</v>
      </c>
      <c r="H67" s="9">
        <f t="shared" ref="H67:H92" si="5">F67*1.35</f>
        <v>128.65986000000001</v>
      </c>
    </row>
    <row r="68" spans="1:8" ht="30" customHeight="1" x14ac:dyDescent="0.25">
      <c r="A68" s="11" t="s">
        <v>284</v>
      </c>
      <c r="B68" s="11" t="s">
        <v>162</v>
      </c>
      <c r="C68" s="11" t="s">
        <v>290</v>
      </c>
      <c r="D68" s="11">
        <v>2</v>
      </c>
      <c r="E68" s="12">
        <v>94.36</v>
      </c>
      <c r="F68" s="9">
        <f t="shared" si="3"/>
        <v>95.303600000000003</v>
      </c>
      <c r="G68" s="27">
        <f t="shared" si="4"/>
        <v>47.651800000000001</v>
      </c>
      <c r="H68" s="9">
        <f t="shared" si="5"/>
        <v>128.65986000000001</v>
      </c>
    </row>
    <row r="69" spans="1:8" ht="30" customHeight="1" x14ac:dyDescent="0.25">
      <c r="A69" s="11" t="s">
        <v>284</v>
      </c>
      <c r="B69" s="11" t="s">
        <v>37</v>
      </c>
      <c r="C69" s="11" t="s">
        <v>291</v>
      </c>
      <c r="D69" s="11">
        <v>1.9</v>
      </c>
      <c r="E69" s="12">
        <v>94.36</v>
      </c>
      <c r="F69" s="9">
        <f t="shared" si="3"/>
        <v>95.303600000000003</v>
      </c>
      <c r="G69" s="27">
        <f t="shared" si="4"/>
        <v>47.651800000000001</v>
      </c>
      <c r="H69" s="9">
        <f t="shared" si="5"/>
        <v>128.65986000000001</v>
      </c>
    </row>
    <row r="70" spans="1:8" ht="30" customHeight="1" x14ac:dyDescent="0.25">
      <c r="A70" s="11" t="s">
        <v>284</v>
      </c>
      <c r="B70" s="11" t="s">
        <v>103</v>
      </c>
      <c r="C70" s="11" t="s">
        <v>292</v>
      </c>
      <c r="D70" s="11">
        <v>1.4</v>
      </c>
      <c r="E70" s="12">
        <v>94.36</v>
      </c>
      <c r="F70" s="9">
        <f t="shared" si="3"/>
        <v>95.303600000000003</v>
      </c>
      <c r="G70" s="27">
        <f t="shared" si="4"/>
        <v>47.651800000000001</v>
      </c>
      <c r="H70" s="9">
        <f t="shared" si="5"/>
        <v>128.65986000000001</v>
      </c>
    </row>
    <row r="71" spans="1:8" ht="30" customHeight="1" x14ac:dyDescent="0.25">
      <c r="A71" s="11" t="s">
        <v>284</v>
      </c>
      <c r="B71" s="11" t="s">
        <v>103</v>
      </c>
      <c r="C71" s="11" t="s">
        <v>293</v>
      </c>
      <c r="D71" s="11">
        <v>2</v>
      </c>
      <c r="E71" s="12">
        <v>94.36</v>
      </c>
      <c r="F71" s="9">
        <f t="shared" si="3"/>
        <v>95.303600000000003</v>
      </c>
      <c r="G71" s="27">
        <f t="shared" si="4"/>
        <v>47.651800000000001</v>
      </c>
      <c r="H71" s="9">
        <f t="shared" si="5"/>
        <v>128.65986000000001</v>
      </c>
    </row>
    <row r="72" spans="1:8" ht="30" customHeight="1" x14ac:dyDescent="0.25">
      <c r="A72" s="11" t="s">
        <v>284</v>
      </c>
      <c r="B72" s="11" t="s">
        <v>21</v>
      </c>
      <c r="C72" s="11" t="s">
        <v>294</v>
      </c>
      <c r="D72" s="11">
        <v>2.2000000000000002</v>
      </c>
      <c r="E72" s="12">
        <v>94.36</v>
      </c>
      <c r="F72" s="9">
        <f t="shared" si="3"/>
        <v>95.303600000000003</v>
      </c>
      <c r="G72" s="27">
        <f t="shared" si="4"/>
        <v>47.651800000000001</v>
      </c>
      <c r="H72" s="9">
        <f t="shared" si="5"/>
        <v>128.65986000000001</v>
      </c>
    </row>
    <row r="73" spans="1:8" ht="30" customHeight="1" x14ac:dyDescent="0.25">
      <c r="A73" s="11" t="s">
        <v>284</v>
      </c>
      <c r="B73" s="11" t="s">
        <v>21</v>
      </c>
      <c r="C73" s="11" t="s">
        <v>295</v>
      </c>
      <c r="D73" s="11">
        <v>2</v>
      </c>
      <c r="E73" s="12">
        <v>94.36</v>
      </c>
      <c r="F73" s="9">
        <f t="shared" si="3"/>
        <v>95.303600000000003</v>
      </c>
      <c r="G73" s="27">
        <f t="shared" si="4"/>
        <v>47.651800000000001</v>
      </c>
      <c r="H73" s="9">
        <f t="shared" si="5"/>
        <v>128.65986000000001</v>
      </c>
    </row>
    <row r="74" spans="1:8" ht="30" customHeight="1" x14ac:dyDescent="0.25">
      <c r="A74" s="11" t="s">
        <v>284</v>
      </c>
      <c r="B74" s="11" t="s">
        <v>21</v>
      </c>
      <c r="C74" s="11" t="s">
        <v>296</v>
      </c>
      <c r="D74" s="11">
        <v>2</v>
      </c>
      <c r="E74" s="12">
        <v>94.36</v>
      </c>
      <c r="F74" s="9">
        <f t="shared" si="3"/>
        <v>95.303600000000003</v>
      </c>
      <c r="G74" s="27">
        <f t="shared" si="4"/>
        <v>47.651800000000001</v>
      </c>
      <c r="H74" s="9">
        <f t="shared" si="5"/>
        <v>128.65986000000001</v>
      </c>
    </row>
    <row r="75" spans="1:8" ht="30" customHeight="1" x14ac:dyDescent="0.25">
      <c r="A75" s="11" t="s">
        <v>284</v>
      </c>
      <c r="B75" s="11" t="s">
        <v>23</v>
      </c>
      <c r="C75" s="11" t="s">
        <v>297</v>
      </c>
      <c r="D75" s="11">
        <v>1.8</v>
      </c>
      <c r="E75" s="12">
        <v>94.36</v>
      </c>
      <c r="F75" s="9">
        <f t="shared" si="3"/>
        <v>95.303600000000003</v>
      </c>
      <c r="G75" s="27">
        <f t="shared" si="4"/>
        <v>47.651800000000001</v>
      </c>
      <c r="H75" s="9">
        <f t="shared" si="5"/>
        <v>128.65986000000001</v>
      </c>
    </row>
    <row r="76" spans="1:8" ht="30" customHeight="1" x14ac:dyDescent="0.25">
      <c r="A76" s="11" t="s">
        <v>284</v>
      </c>
      <c r="B76" s="11" t="s">
        <v>25</v>
      </c>
      <c r="C76" s="11" t="s">
        <v>298</v>
      </c>
      <c r="D76" s="11">
        <v>1.9</v>
      </c>
      <c r="E76" s="12">
        <v>94.36</v>
      </c>
      <c r="F76" s="9">
        <f t="shared" si="3"/>
        <v>95.303600000000003</v>
      </c>
      <c r="G76" s="27">
        <f t="shared" si="4"/>
        <v>47.651800000000001</v>
      </c>
      <c r="H76" s="9">
        <f t="shared" si="5"/>
        <v>128.65986000000001</v>
      </c>
    </row>
    <row r="77" spans="1:8" ht="30" customHeight="1" x14ac:dyDescent="0.25">
      <c r="A77" s="11" t="s">
        <v>284</v>
      </c>
      <c r="B77" s="11" t="s">
        <v>25</v>
      </c>
      <c r="C77" s="11" t="s">
        <v>299</v>
      </c>
      <c r="D77" s="11">
        <v>2</v>
      </c>
      <c r="E77" s="12">
        <v>94.36</v>
      </c>
      <c r="F77" s="9">
        <f t="shared" si="3"/>
        <v>95.303600000000003</v>
      </c>
      <c r="G77" s="27">
        <f t="shared" si="4"/>
        <v>47.651800000000001</v>
      </c>
      <c r="H77" s="9">
        <f t="shared" si="5"/>
        <v>128.65986000000001</v>
      </c>
    </row>
    <row r="78" spans="1:8" ht="30" customHeight="1" x14ac:dyDescent="0.25">
      <c r="A78" s="11" t="s">
        <v>284</v>
      </c>
      <c r="B78" s="11" t="s">
        <v>25</v>
      </c>
      <c r="C78" s="11" t="s">
        <v>300</v>
      </c>
      <c r="D78" s="11">
        <v>2</v>
      </c>
      <c r="E78" s="12">
        <v>94.36</v>
      </c>
      <c r="F78" s="9">
        <f t="shared" si="3"/>
        <v>95.303600000000003</v>
      </c>
      <c r="G78" s="27">
        <f t="shared" si="4"/>
        <v>47.651800000000001</v>
      </c>
      <c r="H78" s="9">
        <f t="shared" si="5"/>
        <v>128.65986000000001</v>
      </c>
    </row>
    <row r="79" spans="1:8" ht="30" customHeight="1" x14ac:dyDescent="0.25">
      <c r="A79" s="11" t="s">
        <v>284</v>
      </c>
      <c r="B79" s="11" t="s">
        <v>25</v>
      </c>
      <c r="C79" s="11" t="s">
        <v>301</v>
      </c>
      <c r="D79" s="11">
        <v>1.9</v>
      </c>
      <c r="E79" s="12">
        <v>94.36</v>
      </c>
      <c r="F79" s="9">
        <f t="shared" si="3"/>
        <v>95.303600000000003</v>
      </c>
      <c r="G79" s="27">
        <f t="shared" si="4"/>
        <v>47.651800000000001</v>
      </c>
      <c r="H79" s="9">
        <f t="shared" si="5"/>
        <v>128.65986000000001</v>
      </c>
    </row>
    <row r="80" spans="1:8" ht="30" customHeight="1" x14ac:dyDescent="0.25">
      <c r="A80" s="11" t="s">
        <v>302</v>
      </c>
      <c r="B80" s="11" t="s">
        <v>25</v>
      </c>
      <c r="C80" s="11" t="s">
        <v>303</v>
      </c>
      <c r="D80" s="11">
        <v>2.8</v>
      </c>
      <c r="E80" s="12">
        <v>111.48</v>
      </c>
      <c r="F80" s="9">
        <f t="shared" si="3"/>
        <v>112.59480000000001</v>
      </c>
      <c r="G80" s="27">
        <f t="shared" si="4"/>
        <v>56.297400000000003</v>
      </c>
      <c r="H80" s="9">
        <f t="shared" si="5"/>
        <v>152.00298000000001</v>
      </c>
    </row>
    <row r="81" spans="1:8" ht="30" customHeight="1" x14ac:dyDescent="0.25">
      <c r="A81" s="11" t="s">
        <v>302</v>
      </c>
      <c r="B81" s="11" t="s">
        <v>155</v>
      </c>
      <c r="C81" s="11" t="s">
        <v>304</v>
      </c>
      <c r="D81" s="11">
        <v>2.2999999999999998</v>
      </c>
      <c r="E81" s="12">
        <v>111.48</v>
      </c>
      <c r="F81" s="9">
        <f t="shared" si="3"/>
        <v>112.59480000000001</v>
      </c>
      <c r="G81" s="27">
        <f t="shared" si="4"/>
        <v>56.297400000000003</v>
      </c>
      <c r="H81" s="9">
        <f t="shared" si="5"/>
        <v>152.00298000000001</v>
      </c>
    </row>
    <row r="82" spans="1:8" ht="30" customHeight="1" x14ac:dyDescent="0.25">
      <c r="A82" s="11" t="s">
        <v>302</v>
      </c>
      <c r="B82" s="11" t="s">
        <v>33</v>
      </c>
      <c r="C82" s="11" t="s">
        <v>305</v>
      </c>
      <c r="D82" s="11">
        <v>2</v>
      </c>
      <c r="E82" s="12">
        <v>111.48</v>
      </c>
      <c r="F82" s="9">
        <f t="shared" si="3"/>
        <v>112.59480000000001</v>
      </c>
      <c r="G82" s="27">
        <f t="shared" si="4"/>
        <v>56.297400000000003</v>
      </c>
      <c r="H82" s="9">
        <f t="shared" si="5"/>
        <v>152.00298000000001</v>
      </c>
    </row>
    <row r="83" spans="1:8" ht="30" customHeight="1" x14ac:dyDescent="0.25">
      <c r="A83" s="11" t="s">
        <v>302</v>
      </c>
      <c r="B83" s="11" t="s">
        <v>306</v>
      </c>
      <c r="C83" s="11" t="s">
        <v>307</v>
      </c>
      <c r="D83" s="11" t="s">
        <v>18</v>
      </c>
      <c r="E83" s="12">
        <v>111.48</v>
      </c>
      <c r="F83" s="9">
        <f t="shared" si="3"/>
        <v>112.59480000000001</v>
      </c>
      <c r="G83" s="27">
        <f t="shared" si="4"/>
        <v>56.297400000000003</v>
      </c>
      <c r="H83" s="9">
        <f t="shared" si="5"/>
        <v>152.00298000000001</v>
      </c>
    </row>
    <row r="84" spans="1:8" ht="30" customHeight="1" x14ac:dyDescent="0.25">
      <c r="A84" s="11" t="s">
        <v>302</v>
      </c>
      <c r="B84" s="11" t="s">
        <v>306</v>
      </c>
      <c r="C84" s="11" t="s">
        <v>308</v>
      </c>
      <c r="D84" s="11">
        <v>2.4</v>
      </c>
      <c r="E84" s="12">
        <v>111.48</v>
      </c>
      <c r="F84" s="9">
        <f t="shared" si="3"/>
        <v>112.59480000000001</v>
      </c>
      <c r="G84" s="27">
        <f t="shared" si="4"/>
        <v>56.297400000000003</v>
      </c>
      <c r="H84" s="9">
        <f t="shared" si="5"/>
        <v>152.00298000000001</v>
      </c>
    </row>
    <row r="85" spans="1:8" ht="30" customHeight="1" x14ac:dyDescent="0.25">
      <c r="A85" s="11" t="s">
        <v>302</v>
      </c>
      <c r="B85" s="11" t="s">
        <v>88</v>
      </c>
      <c r="C85" s="11" t="s">
        <v>309</v>
      </c>
      <c r="D85" s="11">
        <v>2</v>
      </c>
      <c r="E85" s="12">
        <v>111.48</v>
      </c>
      <c r="F85" s="9">
        <f t="shared" si="3"/>
        <v>112.59480000000001</v>
      </c>
      <c r="G85" s="27">
        <f t="shared" si="4"/>
        <v>56.297400000000003</v>
      </c>
      <c r="H85" s="9">
        <f t="shared" si="5"/>
        <v>152.00298000000001</v>
      </c>
    </row>
    <row r="86" spans="1:8" ht="30" customHeight="1" x14ac:dyDescent="0.25">
      <c r="A86" s="11" t="s">
        <v>302</v>
      </c>
      <c r="B86" s="11" t="s">
        <v>37</v>
      </c>
      <c r="C86" s="11" t="s">
        <v>310</v>
      </c>
      <c r="D86" s="11">
        <v>2.4</v>
      </c>
      <c r="E86" s="12">
        <v>111.48</v>
      </c>
      <c r="F86" s="9">
        <f t="shared" si="3"/>
        <v>112.59480000000001</v>
      </c>
      <c r="G86" s="27">
        <f t="shared" si="4"/>
        <v>56.297400000000003</v>
      </c>
      <c r="H86" s="9">
        <f t="shared" si="5"/>
        <v>152.00298000000001</v>
      </c>
    </row>
    <row r="87" spans="1:8" ht="30" customHeight="1" x14ac:dyDescent="0.25">
      <c r="A87" s="11" t="s">
        <v>302</v>
      </c>
      <c r="B87" s="11" t="s">
        <v>21</v>
      </c>
      <c r="C87" s="11" t="s">
        <v>311</v>
      </c>
      <c r="D87" s="11" t="s">
        <v>18</v>
      </c>
      <c r="E87" s="12">
        <v>111.48</v>
      </c>
      <c r="F87" s="9">
        <f t="shared" si="3"/>
        <v>112.59480000000001</v>
      </c>
      <c r="G87" s="27">
        <f t="shared" si="4"/>
        <v>56.297400000000003</v>
      </c>
      <c r="H87" s="9">
        <f t="shared" si="5"/>
        <v>152.00298000000001</v>
      </c>
    </row>
    <row r="88" spans="1:8" ht="30" customHeight="1" x14ac:dyDescent="0.25">
      <c r="A88" s="11" t="s">
        <v>302</v>
      </c>
      <c r="B88" s="11" t="s">
        <v>25</v>
      </c>
      <c r="C88" s="11" t="s">
        <v>312</v>
      </c>
      <c r="D88" s="11">
        <v>2.2000000000000002</v>
      </c>
      <c r="E88" s="12">
        <v>111.48</v>
      </c>
      <c r="F88" s="9">
        <f t="shared" si="3"/>
        <v>112.59480000000001</v>
      </c>
      <c r="G88" s="27">
        <f t="shared" si="4"/>
        <v>56.297400000000003</v>
      </c>
      <c r="H88" s="9">
        <f t="shared" si="5"/>
        <v>152.00298000000001</v>
      </c>
    </row>
    <row r="89" spans="1:8" ht="30" customHeight="1" x14ac:dyDescent="0.25">
      <c r="A89" s="11" t="s">
        <v>313</v>
      </c>
      <c r="B89" s="11" t="s">
        <v>306</v>
      </c>
      <c r="C89" s="11" t="s">
        <v>314</v>
      </c>
      <c r="D89" s="11">
        <v>3</v>
      </c>
      <c r="E89" s="12">
        <v>167.21</v>
      </c>
      <c r="F89" s="9">
        <f t="shared" si="3"/>
        <v>168.88210000000001</v>
      </c>
      <c r="G89" s="27">
        <f t="shared" si="4"/>
        <v>84.441050000000004</v>
      </c>
      <c r="H89" s="9">
        <f t="shared" si="5"/>
        <v>227.99083500000003</v>
      </c>
    </row>
    <row r="90" spans="1:8" ht="30" customHeight="1" x14ac:dyDescent="0.25">
      <c r="A90" s="11" t="s">
        <v>313</v>
      </c>
      <c r="B90" s="11" t="s">
        <v>37</v>
      </c>
      <c r="C90" s="11" t="s">
        <v>315</v>
      </c>
      <c r="D90" s="11">
        <v>3.3</v>
      </c>
      <c r="E90" s="12">
        <v>167.21</v>
      </c>
      <c r="F90" s="9">
        <f t="shared" si="3"/>
        <v>168.88210000000001</v>
      </c>
      <c r="G90" s="27">
        <f t="shared" si="4"/>
        <v>84.441050000000004</v>
      </c>
      <c r="H90" s="9">
        <f t="shared" si="5"/>
        <v>227.99083500000003</v>
      </c>
    </row>
    <row r="91" spans="1:8" ht="30" customHeight="1" x14ac:dyDescent="0.25">
      <c r="A91" s="11" t="s">
        <v>316</v>
      </c>
      <c r="B91" s="11" t="s">
        <v>155</v>
      </c>
      <c r="C91" s="11" t="s">
        <v>317</v>
      </c>
      <c r="D91" s="11">
        <v>3.5</v>
      </c>
      <c r="E91" s="12">
        <v>211.8</v>
      </c>
      <c r="F91" s="9">
        <f t="shared" si="3"/>
        <v>213.91800000000001</v>
      </c>
      <c r="G91" s="27">
        <f t="shared" si="4"/>
        <v>106.959</v>
      </c>
      <c r="H91" s="9">
        <f t="shared" si="5"/>
        <v>288.78930000000003</v>
      </c>
    </row>
    <row r="92" spans="1:8" ht="30" customHeight="1" x14ac:dyDescent="0.25">
      <c r="A92" s="11" t="s">
        <v>316</v>
      </c>
      <c r="B92" s="11" t="s">
        <v>306</v>
      </c>
      <c r="C92" s="11" t="s">
        <v>318</v>
      </c>
      <c r="D92" s="11">
        <v>3.5</v>
      </c>
      <c r="E92" s="12">
        <v>211.8</v>
      </c>
      <c r="F92" s="9">
        <f t="shared" si="3"/>
        <v>213.91800000000001</v>
      </c>
      <c r="G92" s="27">
        <f t="shared" si="4"/>
        <v>106.959</v>
      </c>
      <c r="H92" s="9">
        <f t="shared" si="5"/>
        <v>288.78930000000003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4021-363C-4B9C-B5A7-A84496EB0B01}">
  <dimension ref="A1:H151"/>
  <sheetViews>
    <sheetView workbookViewId="0">
      <selection activeCell="K8" sqref="K8"/>
    </sheetView>
  </sheetViews>
  <sheetFormatPr defaultRowHeight="15" x14ac:dyDescent="0.25"/>
  <cols>
    <col min="1" max="1" width="17.140625" customWidth="1"/>
    <col min="2" max="4" width="0" hidden="1" customWidth="1"/>
    <col min="5" max="5" width="2.5703125" hidden="1" customWidth="1"/>
    <col min="6" max="6" width="16" style="14" customWidth="1"/>
    <col min="7" max="7" width="25.5703125" style="29" customWidth="1"/>
    <col min="8" max="8" width="16.85546875" customWidth="1"/>
  </cols>
  <sheetData>
    <row r="1" spans="1:8" ht="30" customHeight="1" x14ac:dyDescent="0.25">
      <c r="A1" s="15" t="s">
        <v>973</v>
      </c>
      <c r="B1" s="1" t="s">
        <v>0</v>
      </c>
      <c r="C1" s="1" t="s">
        <v>1</v>
      </c>
      <c r="D1" s="1" t="s">
        <v>2</v>
      </c>
      <c r="E1" s="1" t="s">
        <v>3</v>
      </c>
      <c r="F1" s="7" t="s">
        <v>971</v>
      </c>
      <c r="G1" s="26" t="s">
        <v>1004</v>
      </c>
      <c r="H1" s="7" t="s">
        <v>972</v>
      </c>
    </row>
    <row r="2" spans="1:8" ht="30" customHeight="1" x14ac:dyDescent="0.25">
      <c r="A2" s="2" t="s">
        <v>319</v>
      </c>
      <c r="B2" s="2" t="s">
        <v>33</v>
      </c>
      <c r="C2" s="2" t="s">
        <v>320</v>
      </c>
      <c r="D2" s="2">
        <v>2</v>
      </c>
      <c r="E2" s="3">
        <v>107.01</v>
      </c>
      <c r="F2" s="6">
        <f>E2*0.97</f>
        <v>103.7997</v>
      </c>
      <c r="G2" s="28">
        <f>F2/2</f>
        <v>51.899850000000001</v>
      </c>
      <c r="H2" s="8">
        <f>F2*1.35</f>
        <v>140.12959500000002</v>
      </c>
    </row>
    <row r="3" spans="1:8" ht="30" customHeight="1" x14ac:dyDescent="0.25">
      <c r="A3" s="4" t="s">
        <v>319</v>
      </c>
      <c r="B3" s="4" t="s">
        <v>35</v>
      </c>
      <c r="C3" s="4" t="s">
        <v>321</v>
      </c>
      <c r="D3" s="4">
        <v>1.6</v>
      </c>
      <c r="E3" s="5">
        <v>107.01</v>
      </c>
      <c r="F3" s="6">
        <f t="shared" ref="F3:F66" si="0">E3*0.97</f>
        <v>103.7997</v>
      </c>
      <c r="G3" s="28">
        <f t="shared" ref="G3:G66" si="1">F3/2</f>
        <v>51.899850000000001</v>
      </c>
      <c r="H3" s="8">
        <f t="shared" ref="H3:H66" si="2">F3*1.35</f>
        <v>140.12959500000002</v>
      </c>
    </row>
    <row r="4" spans="1:8" ht="30" customHeight="1" x14ac:dyDescent="0.25">
      <c r="A4" s="2" t="s">
        <v>319</v>
      </c>
      <c r="B4" s="2" t="s">
        <v>35</v>
      </c>
      <c r="C4" s="2" t="s">
        <v>322</v>
      </c>
      <c r="D4" s="2">
        <v>2</v>
      </c>
      <c r="E4" s="3">
        <v>107.01</v>
      </c>
      <c r="F4" s="6">
        <f t="shared" si="0"/>
        <v>103.7997</v>
      </c>
      <c r="G4" s="28">
        <f t="shared" si="1"/>
        <v>51.899850000000001</v>
      </c>
      <c r="H4" s="8">
        <f t="shared" si="2"/>
        <v>140.12959500000002</v>
      </c>
    </row>
    <row r="5" spans="1:8" ht="30" customHeight="1" x14ac:dyDescent="0.25">
      <c r="A5" s="4" t="s">
        <v>319</v>
      </c>
      <c r="B5" s="4" t="s">
        <v>202</v>
      </c>
      <c r="C5" s="4" t="s">
        <v>323</v>
      </c>
      <c r="D5" s="4">
        <v>2</v>
      </c>
      <c r="E5" s="5">
        <v>107.01</v>
      </c>
      <c r="F5" s="6">
        <f t="shared" si="0"/>
        <v>103.7997</v>
      </c>
      <c r="G5" s="28">
        <f t="shared" si="1"/>
        <v>51.899850000000001</v>
      </c>
      <c r="H5" s="8">
        <f t="shared" si="2"/>
        <v>140.12959500000002</v>
      </c>
    </row>
    <row r="6" spans="1:8" ht="30" customHeight="1" x14ac:dyDescent="0.25">
      <c r="A6" s="2" t="s">
        <v>319</v>
      </c>
      <c r="B6" s="2" t="s">
        <v>324</v>
      </c>
      <c r="C6" s="2" t="s">
        <v>325</v>
      </c>
      <c r="D6" s="2">
        <v>1.8</v>
      </c>
      <c r="E6" s="3">
        <v>107.01</v>
      </c>
      <c r="F6" s="6">
        <f t="shared" si="0"/>
        <v>103.7997</v>
      </c>
      <c r="G6" s="28">
        <f t="shared" si="1"/>
        <v>51.899850000000001</v>
      </c>
      <c r="H6" s="8">
        <f t="shared" si="2"/>
        <v>140.12959500000002</v>
      </c>
    </row>
    <row r="7" spans="1:8" ht="30" customHeight="1" x14ac:dyDescent="0.25">
      <c r="A7" s="4" t="s">
        <v>319</v>
      </c>
      <c r="B7" s="4" t="s">
        <v>88</v>
      </c>
      <c r="C7" s="4" t="s">
        <v>326</v>
      </c>
      <c r="D7" s="4">
        <v>2.4</v>
      </c>
      <c r="E7" s="5">
        <v>107.01</v>
      </c>
      <c r="F7" s="6">
        <f t="shared" si="0"/>
        <v>103.7997</v>
      </c>
      <c r="G7" s="28">
        <f t="shared" si="1"/>
        <v>51.899850000000001</v>
      </c>
      <c r="H7" s="8">
        <f t="shared" si="2"/>
        <v>140.12959500000002</v>
      </c>
    </row>
    <row r="8" spans="1:8" ht="30" customHeight="1" x14ac:dyDescent="0.25">
      <c r="A8" s="2" t="s">
        <v>319</v>
      </c>
      <c r="B8" s="2" t="s">
        <v>88</v>
      </c>
      <c r="C8" s="2" t="s">
        <v>327</v>
      </c>
      <c r="D8" s="2">
        <v>1.8</v>
      </c>
      <c r="E8" s="3">
        <v>107.01</v>
      </c>
      <c r="F8" s="6">
        <f t="shared" si="0"/>
        <v>103.7997</v>
      </c>
      <c r="G8" s="28">
        <f t="shared" si="1"/>
        <v>51.899850000000001</v>
      </c>
      <c r="H8" s="8">
        <f t="shared" si="2"/>
        <v>140.12959500000002</v>
      </c>
    </row>
    <row r="9" spans="1:8" ht="30" customHeight="1" x14ac:dyDescent="0.25">
      <c r="A9" s="4" t="s">
        <v>319</v>
      </c>
      <c r="B9" s="4" t="s">
        <v>11</v>
      </c>
      <c r="C9" s="4" t="s">
        <v>328</v>
      </c>
      <c r="D9" s="4">
        <v>2.7</v>
      </c>
      <c r="E9" s="5">
        <v>107.01</v>
      </c>
      <c r="F9" s="6">
        <f t="shared" si="0"/>
        <v>103.7997</v>
      </c>
      <c r="G9" s="28">
        <f t="shared" si="1"/>
        <v>51.899850000000001</v>
      </c>
      <c r="H9" s="8">
        <f t="shared" si="2"/>
        <v>140.12959500000002</v>
      </c>
    </row>
    <row r="10" spans="1:8" ht="30" customHeight="1" x14ac:dyDescent="0.25">
      <c r="A10" s="2" t="s">
        <v>319</v>
      </c>
      <c r="B10" s="2" t="s">
        <v>11</v>
      </c>
      <c r="C10" s="2" t="s">
        <v>329</v>
      </c>
      <c r="D10" s="2">
        <v>2</v>
      </c>
      <c r="E10" s="3">
        <v>107.01</v>
      </c>
      <c r="F10" s="6">
        <f t="shared" si="0"/>
        <v>103.7997</v>
      </c>
      <c r="G10" s="28">
        <f t="shared" si="1"/>
        <v>51.899850000000001</v>
      </c>
      <c r="H10" s="8">
        <f t="shared" si="2"/>
        <v>140.12959500000002</v>
      </c>
    </row>
    <row r="11" spans="1:8" ht="30" customHeight="1" x14ac:dyDescent="0.25">
      <c r="A11" s="4" t="s">
        <v>319</v>
      </c>
      <c r="B11" s="4" t="s">
        <v>39</v>
      </c>
      <c r="C11" s="4" t="s">
        <v>330</v>
      </c>
      <c r="D11" s="4">
        <v>2</v>
      </c>
      <c r="E11" s="5">
        <v>107.01</v>
      </c>
      <c r="F11" s="6">
        <f t="shared" si="0"/>
        <v>103.7997</v>
      </c>
      <c r="G11" s="28">
        <f t="shared" si="1"/>
        <v>51.899850000000001</v>
      </c>
      <c r="H11" s="8">
        <f t="shared" si="2"/>
        <v>140.12959500000002</v>
      </c>
    </row>
    <row r="12" spans="1:8" ht="30" customHeight="1" x14ac:dyDescent="0.25">
      <c r="A12" s="2" t="s">
        <v>319</v>
      </c>
      <c r="B12" s="2" t="s">
        <v>42</v>
      </c>
      <c r="C12" s="2" t="s">
        <v>331</v>
      </c>
      <c r="D12" s="2">
        <v>2</v>
      </c>
      <c r="E12" s="3">
        <v>107.01</v>
      </c>
      <c r="F12" s="6">
        <f t="shared" si="0"/>
        <v>103.7997</v>
      </c>
      <c r="G12" s="28">
        <f t="shared" si="1"/>
        <v>51.899850000000001</v>
      </c>
      <c r="H12" s="8">
        <f t="shared" si="2"/>
        <v>140.12959500000002</v>
      </c>
    </row>
    <row r="13" spans="1:8" ht="30" customHeight="1" x14ac:dyDescent="0.25">
      <c r="A13" s="4" t="s">
        <v>319</v>
      </c>
      <c r="B13" s="4" t="s">
        <v>42</v>
      </c>
      <c r="C13" s="4" t="s">
        <v>332</v>
      </c>
      <c r="D13" s="4">
        <v>1.6</v>
      </c>
      <c r="E13" s="5">
        <v>107.01</v>
      </c>
      <c r="F13" s="6">
        <f t="shared" si="0"/>
        <v>103.7997</v>
      </c>
      <c r="G13" s="28">
        <f t="shared" si="1"/>
        <v>51.899850000000001</v>
      </c>
      <c r="H13" s="8">
        <f t="shared" si="2"/>
        <v>140.12959500000002</v>
      </c>
    </row>
    <row r="14" spans="1:8" ht="30" customHeight="1" x14ac:dyDescent="0.25">
      <c r="A14" s="2" t="s">
        <v>319</v>
      </c>
      <c r="B14" s="2" t="s">
        <v>21</v>
      </c>
      <c r="C14" s="2" t="s">
        <v>333</v>
      </c>
      <c r="D14" s="2">
        <v>2</v>
      </c>
      <c r="E14" s="3">
        <v>107.01</v>
      </c>
      <c r="F14" s="6">
        <f t="shared" si="0"/>
        <v>103.7997</v>
      </c>
      <c r="G14" s="28">
        <f t="shared" si="1"/>
        <v>51.899850000000001</v>
      </c>
      <c r="H14" s="8">
        <f t="shared" si="2"/>
        <v>140.12959500000002</v>
      </c>
    </row>
    <row r="15" spans="1:8" ht="30" customHeight="1" x14ac:dyDescent="0.25">
      <c r="A15" s="4" t="s">
        <v>319</v>
      </c>
      <c r="B15" s="4" t="s">
        <v>23</v>
      </c>
      <c r="C15" s="4" t="s">
        <v>334</v>
      </c>
      <c r="D15" s="4">
        <v>1.7</v>
      </c>
      <c r="E15" s="5">
        <v>107.01</v>
      </c>
      <c r="F15" s="6">
        <f t="shared" si="0"/>
        <v>103.7997</v>
      </c>
      <c r="G15" s="28">
        <f t="shared" si="1"/>
        <v>51.899850000000001</v>
      </c>
      <c r="H15" s="8">
        <f t="shared" si="2"/>
        <v>140.12959500000002</v>
      </c>
    </row>
    <row r="16" spans="1:8" ht="30" customHeight="1" x14ac:dyDescent="0.25">
      <c r="A16" s="2" t="s">
        <v>335</v>
      </c>
      <c r="B16" s="2" t="s">
        <v>336</v>
      </c>
      <c r="C16" s="2" t="s">
        <v>337</v>
      </c>
      <c r="D16" s="2"/>
      <c r="E16" s="3">
        <v>106.66</v>
      </c>
      <c r="F16" s="6">
        <f t="shared" si="0"/>
        <v>103.4602</v>
      </c>
      <c r="G16" s="28">
        <f t="shared" si="1"/>
        <v>51.7301</v>
      </c>
      <c r="H16" s="8">
        <f t="shared" si="2"/>
        <v>139.67127000000002</v>
      </c>
    </row>
    <row r="17" spans="1:8" ht="30" customHeight="1" x14ac:dyDescent="0.25">
      <c r="A17" s="4" t="s">
        <v>335</v>
      </c>
      <c r="B17" s="4" t="s">
        <v>5</v>
      </c>
      <c r="C17" s="4" t="s">
        <v>338</v>
      </c>
      <c r="D17" s="4">
        <v>2.2000000000000002</v>
      </c>
      <c r="E17" s="5">
        <v>106.66</v>
      </c>
      <c r="F17" s="6">
        <f t="shared" si="0"/>
        <v>103.4602</v>
      </c>
      <c r="G17" s="28">
        <f t="shared" si="1"/>
        <v>51.7301</v>
      </c>
      <c r="H17" s="8">
        <f t="shared" si="2"/>
        <v>139.67127000000002</v>
      </c>
    </row>
    <row r="18" spans="1:8" ht="30" customHeight="1" x14ac:dyDescent="0.25">
      <c r="A18" s="2" t="s">
        <v>335</v>
      </c>
      <c r="B18" s="2" t="s">
        <v>49</v>
      </c>
      <c r="C18" s="2" t="s">
        <v>339</v>
      </c>
      <c r="D18" s="2">
        <v>2.2000000000000002</v>
      </c>
      <c r="E18" s="3">
        <v>106.66</v>
      </c>
      <c r="F18" s="6">
        <f t="shared" si="0"/>
        <v>103.4602</v>
      </c>
      <c r="G18" s="28">
        <f t="shared" si="1"/>
        <v>51.7301</v>
      </c>
      <c r="H18" s="8">
        <f t="shared" si="2"/>
        <v>139.67127000000002</v>
      </c>
    </row>
    <row r="19" spans="1:8" ht="30" customHeight="1" x14ac:dyDescent="0.25">
      <c r="A19" s="4" t="s">
        <v>335</v>
      </c>
      <c r="B19" s="4" t="s">
        <v>49</v>
      </c>
      <c r="C19" s="4" t="s">
        <v>340</v>
      </c>
      <c r="D19" s="4">
        <v>2</v>
      </c>
      <c r="E19" s="5">
        <v>106.66</v>
      </c>
      <c r="F19" s="6">
        <f t="shared" si="0"/>
        <v>103.4602</v>
      </c>
      <c r="G19" s="28">
        <f t="shared" si="1"/>
        <v>51.7301</v>
      </c>
      <c r="H19" s="8">
        <f t="shared" si="2"/>
        <v>139.67127000000002</v>
      </c>
    </row>
    <row r="20" spans="1:8" ht="30" customHeight="1" x14ac:dyDescent="0.25">
      <c r="A20" s="2" t="s">
        <v>335</v>
      </c>
      <c r="B20" s="2" t="s">
        <v>35</v>
      </c>
      <c r="C20" s="2" t="s">
        <v>341</v>
      </c>
      <c r="D20" s="2">
        <v>2.2000000000000002</v>
      </c>
      <c r="E20" s="3">
        <v>106.66</v>
      </c>
      <c r="F20" s="6">
        <f t="shared" si="0"/>
        <v>103.4602</v>
      </c>
      <c r="G20" s="28">
        <f t="shared" si="1"/>
        <v>51.7301</v>
      </c>
      <c r="H20" s="8">
        <f t="shared" si="2"/>
        <v>139.67127000000002</v>
      </c>
    </row>
    <row r="21" spans="1:8" ht="30" customHeight="1" x14ac:dyDescent="0.25">
      <c r="A21" s="4" t="s">
        <v>335</v>
      </c>
      <c r="B21" s="4" t="s">
        <v>35</v>
      </c>
      <c r="C21" s="4" t="s">
        <v>342</v>
      </c>
      <c r="D21" s="4">
        <v>2.2000000000000002</v>
      </c>
      <c r="E21" s="5">
        <v>106.66</v>
      </c>
      <c r="F21" s="6">
        <f t="shared" si="0"/>
        <v>103.4602</v>
      </c>
      <c r="G21" s="28">
        <f t="shared" si="1"/>
        <v>51.7301</v>
      </c>
      <c r="H21" s="8">
        <f t="shared" si="2"/>
        <v>139.67127000000002</v>
      </c>
    </row>
    <row r="22" spans="1:8" ht="30" customHeight="1" x14ac:dyDescent="0.25">
      <c r="A22" s="2" t="s">
        <v>335</v>
      </c>
      <c r="B22" s="2" t="s">
        <v>202</v>
      </c>
      <c r="C22" s="2" t="s">
        <v>343</v>
      </c>
      <c r="D22" s="2">
        <v>2.5</v>
      </c>
      <c r="E22" s="3">
        <v>106.66</v>
      </c>
      <c r="F22" s="6">
        <f t="shared" si="0"/>
        <v>103.4602</v>
      </c>
      <c r="G22" s="28">
        <f t="shared" si="1"/>
        <v>51.7301</v>
      </c>
      <c r="H22" s="8">
        <f t="shared" si="2"/>
        <v>139.67127000000002</v>
      </c>
    </row>
    <row r="23" spans="1:8" ht="30" customHeight="1" x14ac:dyDescent="0.25">
      <c r="A23" s="4" t="s">
        <v>335</v>
      </c>
      <c r="B23" s="4" t="s">
        <v>202</v>
      </c>
      <c r="C23" s="4" t="s">
        <v>344</v>
      </c>
      <c r="D23" s="4">
        <v>2.2000000000000002</v>
      </c>
      <c r="E23" s="5">
        <v>106.66</v>
      </c>
      <c r="F23" s="6">
        <f t="shared" si="0"/>
        <v>103.4602</v>
      </c>
      <c r="G23" s="28">
        <f t="shared" si="1"/>
        <v>51.7301</v>
      </c>
      <c r="H23" s="8">
        <f t="shared" si="2"/>
        <v>139.67127000000002</v>
      </c>
    </row>
    <row r="24" spans="1:8" ht="30" customHeight="1" x14ac:dyDescent="0.25">
      <c r="A24" s="2" t="s">
        <v>335</v>
      </c>
      <c r="B24" s="2" t="s">
        <v>202</v>
      </c>
      <c r="C24" s="2" t="s">
        <v>345</v>
      </c>
      <c r="D24" s="2">
        <v>2.4</v>
      </c>
      <c r="E24" s="3">
        <v>106.66</v>
      </c>
      <c r="F24" s="6">
        <f t="shared" si="0"/>
        <v>103.4602</v>
      </c>
      <c r="G24" s="28">
        <f t="shared" si="1"/>
        <v>51.7301</v>
      </c>
      <c r="H24" s="8">
        <f t="shared" si="2"/>
        <v>139.67127000000002</v>
      </c>
    </row>
    <row r="25" spans="1:8" ht="30" customHeight="1" x14ac:dyDescent="0.25">
      <c r="A25" s="4" t="s">
        <v>335</v>
      </c>
      <c r="B25" s="4" t="s">
        <v>324</v>
      </c>
      <c r="C25" s="4" t="s">
        <v>346</v>
      </c>
      <c r="D25" s="4">
        <v>2</v>
      </c>
      <c r="E25" s="5">
        <v>106.66</v>
      </c>
      <c r="F25" s="6">
        <f t="shared" si="0"/>
        <v>103.4602</v>
      </c>
      <c r="G25" s="28">
        <f t="shared" si="1"/>
        <v>51.7301</v>
      </c>
      <c r="H25" s="8">
        <f t="shared" si="2"/>
        <v>139.67127000000002</v>
      </c>
    </row>
    <row r="26" spans="1:8" ht="30" customHeight="1" x14ac:dyDescent="0.25">
      <c r="A26" s="2" t="s">
        <v>335</v>
      </c>
      <c r="B26" s="2" t="s">
        <v>324</v>
      </c>
      <c r="C26" s="2" t="s">
        <v>347</v>
      </c>
      <c r="D26" s="2">
        <v>2.2000000000000002</v>
      </c>
      <c r="E26" s="3">
        <v>106.66</v>
      </c>
      <c r="F26" s="6">
        <f t="shared" si="0"/>
        <v>103.4602</v>
      </c>
      <c r="G26" s="28">
        <f t="shared" si="1"/>
        <v>51.7301</v>
      </c>
      <c r="H26" s="8">
        <f t="shared" si="2"/>
        <v>139.67127000000002</v>
      </c>
    </row>
    <row r="27" spans="1:8" ht="30" customHeight="1" x14ac:dyDescent="0.25">
      <c r="A27" s="4" t="s">
        <v>335</v>
      </c>
      <c r="B27" s="4" t="s">
        <v>306</v>
      </c>
      <c r="C27" s="4" t="s">
        <v>348</v>
      </c>
      <c r="D27" s="4">
        <v>2.1</v>
      </c>
      <c r="E27" s="5">
        <v>106.66</v>
      </c>
      <c r="F27" s="6">
        <f t="shared" si="0"/>
        <v>103.4602</v>
      </c>
      <c r="G27" s="28">
        <f t="shared" si="1"/>
        <v>51.7301</v>
      </c>
      <c r="H27" s="8">
        <f t="shared" si="2"/>
        <v>139.67127000000002</v>
      </c>
    </row>
    <row r="28" spans="1:8" ht="30" customHeight="1" x14ac:dyDescent="0.25">
      <c r="A28" s="2" t="s">
        <v>335</v>
      </c>
      <c r="B28" s="2" t="s">
        <v>88</v>
      </c>
      <c r="C28" s="2" t="s">
        <v>349</v>
      </c>
      <c r="D28" s="2">
        <v>2.5</v>
      </c>
      <c r="E28" s="3">
        <v>106.66</v>
      </c>
      <c r="F28" s="6">
        <f t="shared" si="0"/>
        <v>103.4602</v>
      </c>
      <c r="G28" s="28">
        <f t="shared" si="1"/>
        <v>51.7301</v>
      </c>
      <c r="H28" s="8">
        <f t="shared" si="2"/>
        <v>139.67127000000002</v>
      </c>
    </row>
    <row r="29" spans="1:8" ht="30" customHeight="1" x14ac:dyDescent="0.25">
      <c r="A29" s="4" t="s">
        <v>335</v>
      </c>
      <c r="B29" s="4" t="s">
        <v>350</v>
      </c>
      <c r="C29" s="4" t="s">
        <v>351</v>
      </c>
      <c r="D29" s="4">
        <v>2.2000000000000002</v>
      </c>
      <c r="E29" s="5">
        <v>106.66</v>
      </c>
      <c r="F29" s="6">
        <f t="shared" si="0"/>
        <v>103.4602</v>
      </c>
      <c r="G29" s="28">
        <f t="shared" si="1"/>
        <v>51.7301</v>
      </c>
      <c r="H29" s="8">
        <f t="shared" si="2"/>
        <v>139.67127000000002</v>
      </c>
    </row>
    <row r="30" spans="1:8" ht="30" customHeight="1" x14ac:dyDescent="0.25">
      <c r="A30" s="2" t="s">
        <v>335</v>
      </c>
      <c r="B30" s="2" t="s">
        <v>179</v>
      </c>
      <c r="C30" s="2" t="s">
        <v>352</v>
      </c>
      <c r="D30" s="2">
        <v>2</v>
      </c>
      <c r="E30" s="3">
        <v>106.66</v>
      </c>
      <c r="F30" s="6">
        <f t="shared" si="0"/>
        <v>103.4602</v>
      </c>
      <c r="G30" s="28">
        <f t="shared" si="1"/>
        <v>51.7301</v>
      </c>
      <c r="H30" s="8">
        <f t="shared" si="2"/>
        <v>139.67127000000002</v>
      </c>
    </row>
    <row r="31" spans="1:8" ht="30" customHeight="1" x14ac:dyDescent="0.25">
      <c r="A31" s="4" t="s">
        <v>335</v>
      </c>
      <c r="B31" s="4" t="s">
        <v>21</v>
      </c>
      <c r="C31" s="4" t="s">
        <v>353</v>
      </c>
      <c r="D31" s="4">
        <v>2.2000000000000002</v>
      </c>
      <c r="E31" s="5">
        <v>106.66</v>
      </c>
      <c r="F31" s="6">
        <f t="shared" si="0"/>
        <v>103.4602</v>
      </c>
      <c r="G31" s="28">
        <f t="shared" si="1"/>
        <v>51.7301</v>
      </c>
      <c r="H31" s="8">
        <f t="shared" si="2"/>
        <v>139.67127000000002</v>
      </c>
    </row>
    <row r="32" spans="1:8" ht="30" customHeight="1" x14ac:dyDescent="0.25">
      <c r="A32" s="2" t="s">
        <v>335</v>
      </c>
      <c r="B32" s="2" t="s">
        <v>21</v>
      </c>
      <c r="C32" s="2" t="s">
        <v>354</v>
      </c>
      <c r="D32" s="2">
        <v>2.5</v>
      </c>
      <c r="E32" s="3">
        <v>106.66</v>
      </c>
      <c r="F32" s="6">
        <f t="shared" si="0"/>
        <v>103.4602</v>
      </c>
      <c r="G32" s="28">
        <f t="shared" si="1"/>
        <v>51.7301</v>
      </c>
      <c r="H32" s="8">
        <f t="shared" si="2"/>
        <v>139.67127000000002</v>
      </c>
    </row>
    <row r="33" spans="1:8" ht="30" customHeight="1" x14ac:dyDescent="0.25">
      <c r="A33" s="4" t="s">
        <v>335</v>
      </c>
      <c r="B33" s="4" t="s">
        <v>25</v>
      </c>
      <c r="C33" s="4" t="s">
        <v>355</v>
      </c>
      <c r="D33" s="4">
        <v>2</v>
      </c>
      <c r="E33" s="5">
        <v>106.66</v>
      </c>
      <c r="F33" s="6">
        <f t="shared" si="0"/>
        <v>103.4602</v>
      </c>
      <c r="G33" s="28">
        <f t="shared" si="1"/>
        <v>51.7301</v>
      </c>
      <c r="H33" s="8">
        <f t="shared" si="2"/>
        <v>139.67127000000002</v>
      </c>
    </row>
    <row r="34" spans="1:8" ht="30" customHeight="1" x14ac:dyDescent="0.25">
      <c r="A34" s="2" t="s">
        <v>335</v>
      </c>
      <c r="B34" s="2" t="s">
        <v>25</v>
      </c>
      <c r="C34" s="2" t="s">
        <v>356</v>
      </c>
      <c r="D34" s="2" t="s">
        <v>18</v>
      </c>
      <c r="E34" s="3">
        <v>106.66</v>
      </c>
      <c r="F34" s="6">
        <f t="shared" si="0"/>
        <v>103.4602</v>
      </c>
      <c r="G34" s="28">
        <f t="shared" si="1"/>
        <v>51.7301</v>
      </c>
      <c r="H34" s="8">
        <f t="shared" si="2"/>
        <v>139.67127000000002</v>
      </c>
    </row>
    <row r="35" spans="1:8" ht="30" customHeight="1" x14ac:dyDescent="0.25">
      <c r="A35" s="4" t="s">
        <v>357</v>
      </c>
      <c r="B35" s="4" t="s">
        <v>358</v>
      </c>
      <c r="C35" s="4" t="s">
        <v>359</v>
      </c>
      <c r="D35" s="4">
        <v>2</v>
      </c>
      <c r="E35" s="5">
        <v>123.58</v>
      </c>
      <c r="F35" s="6">
        <f t="shared" si="0"/>
        <v>119.87259999999999</v>
      </c>
      <c r="G35" s="28">
        <f t="shared" si="1"/>
        <v>59.936299999999996</v>
      </c>
      <c r="H35" s="8">
        <f t="shared" si="2"/>
        <v>161.82801000000001</v>
      </c>
    </row>
    <row r="36" spans="1:8" ht="30" customHeight="1" x14ac:dyDescent="0.25">
      <c r="A36" s="2" t="s">
        <v>357</v>
      </c>
      <c r="B36" s="2" t="s">
        <v>358</v>
      </c>
      <c r="C36" s="2" t="s">
        <v>360</v>
      </c>
      <c r="D36" s="2">
        <v>2</v>
      </c>
      <c r="E36" s="3">
        <v>123.58</v>
      </c>
      <c r="F36" s="6">
        <f t="shared" si="0"/>
        <v>119.87259999999999</v>
      </c>
      <c r="G36" s="28">
        <f t="shared" si="1"/>
        <v>59.936299999999996</v>
      </c>
      <c r="H36" s="8">
        <f t="shared" si="2"/>
        <v>161.82801000000001</v>
      </c>
    </row>
    <row r="37" spans="1:8" ht="30" customHeight="1" x14ac:dyDescent="0.25">
      <c r="A37" s="4" t="s">
        <v>357</v>
      </c>
      <c r="B37" s="4" t="s">
        <v>358</v>
      </c>
      <c r="C37" s="4" t="s">
        <v>361</v>
      </c>
      <c r="D37" s="4">
        <v>2</v>
      </c>
      <c r="E37" s="5">
        <v>123.58</v>
      </c>
      <c r="F37" s="6">
        <f t="shared" si="0"/>
        <v>119.87259999999999</v>
      </c>
      <c r="G37" s="28">
        <f t="shared" si="1"/>
        <v>59.936299999999996</v>
      </c>
      <c r="H37" s="8">
        <f t="shared" si="2"/>
        <v>161.82801000000001</v>
      </c>
    </row>
    <row r="38" spans="1:8" ht="30" customHeight="1" x14ac:dyDescent="0.25">
      <c r="A38" s="2" t="s">
        <v>357</v>
      </c>
      <c r="B38" s="2" t="s">
        <v>74</v>
      </c>
      <c r="C38" s="2" t="s">
        <v>362</v>
      </c>
      <c r="D38" s="2">
        <v>2</v>
      </c>
      <c r="E38" s="3">
        <v>123.58</v>
      </c>
      <c r="F38" s="6">
        <f t="shared" si="0"/>
        <v>119.87259999999999</v>
      </c>
      <c r="G38" s="28">
        <f t="shared" si="1"/>
        <v>59.936299999999996</v>
      </c>
      <c r="H38" s="8">
        <f t="shared" si="2"/>
        <v>161.82801000000001</v>
      </c>
    </row>
    <row r="39" spans="1:8" ht="30" customHeight="1" x14ac:dyDescent="0.25">
      <c r="A39" s="4" t="s">
        <v>357</v>
      </c>
      <c r="B39" s="4" t="s">
        <v>49</v>
      </c>
      <c r="C39" s="4" t="s">
        <v>363</v>
      </c>
      <c r="D39" s="4">
        <v>2</v>
      </c>
      <c r="E39" s="5">
        <v>123.58</v>
      </c>
      <c r="F39" s="6">
        <f t="shared" si="0"/>
        <v>119.87259999999999</v>
      </c>
      <c r="G39" s="28">
        <f t="shared" si="1"/>
        <v>59.936299999999996</v>
      </c>
      <c r="H39" s="8">
        <f t="shared" si="2"/>
        <v>161.82801000000001</v>
      </c>
    </row>
    <row r="40" spans="1:8" ht="30" customHeight="1" x14ac:dyDescent="0.25">
      <c r="A40" s="2" t="s">
        <v>357</v>
      </c>
      <c r="B40" s="2" t="s">
        <v>364</v>
      </c>
      <c r="C40" s="2" t="s">
        <v>365</v>
      </c>
      <c r="D40" s="2">
        <v>3</v>
      </c>
      <c r="E40" s="3">
        <v>123.58</v>
      </c>
      <c r="F40" s="6">
        <f t="shared" si="0"/>
        <v>119.87259999999999</v>
      </c>
      <c r="G40" s="28">
        <f t="shared" si="1"/>
        <v>59.936299999999996</v>
      </c>
      <c r="H40" s="8">
        <f t="shared" si="2"/>
        <v>161.82801000000001</v>
      </c>
    </row>
    <row r="41" spans="1:8" ht="30" customHeight="1" x14ac:dyDescent="0.25">
      <c r="A41" s="4" t="s">
        <v>357</v>
      </c>
      <c r="B41" s="4" t="s">
        <v>202</v>
      </c>
      <c r="C41" s="4" t="s">
        <v>366</v>
      </c>
      <c r="D41" s="4" t="s">
        <v>18</v>
      </c>
      <c r="E41" s="5">
        <v>123.58</v>
      </c>
      <c r="F41" s="6">
        <f t="shared" si="0"/>
        <v>119.87259999999999</v>
      </c>
      <c r="G41" s="28">
        <f t="shared" si="1"/>
        <v>59.936299999999996</v>
      </c>
      <c r="H41" s="8">
        <f t="shared" si="2"/>
        <v>161.82801000000001</v>
      </c>
    </row>
    <row r="42" spans="1:8" ht="30" customHeight="1" x14ac:dyDescent="0.25">
      <c r="A42" s="2" t="s">
        <v>357</v>
      </c>
      <c r="B42" s="2" t="s">
        <v>324</v>
      </c>
      <c r="C42" s="2" t="s">
        <v>367</v>
      </c>
      <c r="D42" s="2">
        <v>2.5</v>
      </c>
      <c r="E42" s="3">
        <v>123.58</v>
      </c>
      <c r="F42" s="6">
        <f t="shared" si="0"/>
        <v>119.87259999999999</v>
      </c>
      <c r="G42" s="28">
        <f t="shared" si="1"/>
        <v>59.936299999999996</v>
      </c>
      <c r="H42" s="8">
        <f t="shared" si="2"/>
        <v>161.82801000000001</v>
      </c>
    </row>
    <row r="43" spans="1:8" ht="30" customHeight="1" x14ac:dyDescent="0.25">
      <c r="A43" s="4" t="s">
        <v>357</v>
      </c>
      <c r="B43" s="4" t="s">
        <v>324</v>
      </c>
      <c r="C43" s="4" t="s">
        <v>368</v>
      </c>
      <c r="D43" s="4">
        <v>2.2000000000000002</v>
      </c>
      <c r="E43" s="5">
        <v>123.58</v>
      </c>
      <c r="F43" s="6">
        <f t="shared" si="0"/>
        <v>119.87259999999999</v>
      </c>
      <c r="G43" s="28">
        <f t="shared" si="1"/>
        <v>59.936299999999996</v>
      </c>
      <c r="H43" s="8">
        <f t="shared" si="2"/>
        <v>161.82801000000001</v>
      </c>
    </row>
    <row r="44" spans="1:8" ht="30" customHeight="1" x14ac:dyDescent="0.25">
      <c r="A44" s="2" t="s">
        <v>357</v>
      </c>
      <c r="B44" s="2" t="s">
        <v>324</v>
      </c>
      <c r="C44" s="2" t="s">
        <v>369</v>
      </c>
      <c r="D44" s="2">
        <v>2</v>
      </c>
      <c r="E44" s="3">
        <v>123.58</v>
      </c>
      <c r="F44" s="6">
        <f t="shared" si="0"/>
        <v>119.87259999999999</v>
      </c>
      <c r="G44" s="28">
        <f t="shared" si="1"/>
        <v>59.936299999999996</v>
      </c>
      <c r="H44" s="8">
        <f t="shared" si="2"/>
        <v>161.82801000000001</v>
      </c>
    </row>
    <row r="45" spans="1:8" ht="30" customHeight="1" x14ac:dyDescent="0.25">
      <c r="A45" s="4" t="s">
        <v>357</v>
      </c>
      <c r="B45" s="4" t="s">
        <v>306</v>
      </c>
      <c r="C45" s="4" t="s">
        <v>370</v>
      </c>
      <c r="D45" s="4">
        <v>2.1</v>
      </c>
      <c r="E45" s="5">
        <v>123.58</v>
      </c>
      <c r="F45" s="6">
        <f t="shared" si="0"/>
        <v>119.87259999999999</v>
      </c>
      <c r="G45" s="28">
        <f t="shared" si="1"/>
        <v>59.936299999999996</v>
      </c>
      <c r="H45" s="8">
        <f t="shared" si="2"/>
        <v>161.82801000000001</v>
      </c>
    </row>
    <row r="46" spans="1:8" ht="30" customHeight="1" x14ac:dyDescent="0.25">
      <c r="A46" s="2" t="s">
        <v>357</v>
      </c>
      <c r="B46" s="2" t="s">
        <v>306</v>
      </c>
      <c r="C46" s="2" t="s">
        <v>371</v>
      </c>
      <c r="D46" s="2"/>
      <c r="E46" s="3">
        <v>123.58</v>
      </c>
      <c r="F46" s="6">
        <f t="shared" si="0"/>
        <v>119.87259999999999</v>
      </c>
      <c r="G46" s="28">
        <f t="shared" si="1"/>
        <v>59.936299999999996</v>
      </c>
      <c r="H46" s="8">
        <f t="shared" si="2"/>
        <v>161.82801000000001</v>
      </c>
    </row>
    <row r="47" spans="1:8" ht="30" customHeight="1" x14ac:dyDescent="0.25">
      <c r="A47" s="4" t="s">
        <v>357</v>
      </c>
      <c r="B47" s="4" t="s">
        <v>88</v>
      </c>
      <c r="C47" s="4" t="s">
        <v>372</v>
      </c>
      <c r="D47" s="4" t="s">
        <v>18</v>
      </c>
      <c r="E47" s="5">
        <v>123.58</v>
      </c>
      <c r="F47" s="6">
        <f t="shared" si="0"/>
        <v>119.87259999999999</v>
      </c>
      <c r="G47" s="28">
        <f t="shared" si="1"/>
        <v>59.936299999999996</v>
      </c>
      <c r="H47" s="8">
        <f t="shared" si="2"/>
        <v>161.82801000000001</v>
      </c>
    </row>
    <row r="48" spans="1:8" ht="30" customHeight="1" x14ac:dyDescent="0.25">
      <c r="A48" s="2" t="s">
        <v>357</v>
      </c>
      <c r="B48" s="2" t="s">
        <v>88</v>
      </c>
      <c r="C48" s="2" t="s">
        <v>373</v>
      </c>
      <c r="D48" s="2">
        <v>2.5</v>
      </c>
      <c r="E48" s="3">
        <v>123.58</v>
      </c>
      <c r="F48" s="6">
        <f t="shared" si="0"/>
        <v>119.87259999999999</v>
      </c>
      <c r="G48" s="28">
        <f t="shared" si="1"/>
        <v>59.936299999999996</v>
      </c>
      <c r="H48" s="8">
        <f t="shared" si="2"/>
        <v>161.82801000000001</v>
      </c>
    </row>
    <row r="49" spans="1:8" ht="30" customHeight="1" x14ac:dyDescent="0.25">
      <c r="A49" s="4" t="s">
        <v>357</v>
      </c>
      <c r="B49" s="4" t="s">
        <v>11</v>
      </c>
      <c r="C49" s="4" t="s">
        <v>374</v>
      </c>
      <c r="D49" s="4">
        <v>2.5</v>
      </c>
      <c r="E49" s="5">
        <v>123.58</v>
      </c>
      <c r="F49" s="6">
        <f t="shared" si="0"/>
        <v>119.87259999999999</v>
      </c>
      <c r="G49" s="28">
        <f t="shared" si="1"/>
        <v>59.936299999999996</v>
      </c>
      <c r="H49" s="8">
        <f t="shared" si="2"/>
        <v>161.82801000000001</v>
      </c>
    </row>
    <row r="50" spans="1:8" ht="30" customHeight="1" x14ac:dyDescent="0.25">
      <c r="A50" s="2" t="s">
        <v>357</v>
      </c>
      <c r="B50" s="2" t="s">
        <v>11</v>
      </c>
      <c r="C50" s="2" t="s">
        <v>375</v>
      </c>
      <c r="D50" s="2">
        <v>2.4</v>
      </c>
      <c r="E50" s="3">
        <v>123.58</v>
      </c>
      <c r="F50" s="6">
        <f t="shared" si="0"/>
        <v>119.87259999999999</v>
      </c>
      <c r="G50" s="28">
        <f t="shared" si="1"/>
        <v>59.936299999999996</v>
      </c>
      <c r="H50" s="8">
        <f t="shared" si="2"/>
        <v>161.82801000000001</v>
      </c>
    </row>
    <row r="51" spans="1:8" ht="30" customHeight="1" x14ac:dyDescent="0.25">
      <c r="A51" s="4" t="s">
        <v>357</v>
      </c>
      <c r="B51" s="4" t="s">
        <v>376</v>
      </c>
      <c r="C51" s="4" t="s">
        <v>377</v>
      </c>
      <c r="D51" s="4">
        <v>2.2000000000000002</v>
      </c>
      <c r="E51" s="5">
        <v>123.58</v>
      </c>
      <c r="F51" s="6">
        <f t="shared" si="0"/>
        <v>119.87259999999999</v>
      </c>
      <c r="G51" s="28">
        <f t="shared" si="1"/>
        <v>59.936299999999996</v>
      </c>
      <c r="H51" s="8">
        <f t="shared" si="2"/>
        <v>161.82801000000001</v>
      </c>
    </row>
    <row r="52" spans="1:8" ht="30" customHeight="1" x14ac:dyDescent="0.25">
      <c r="A52" s="2" t="s">
        <v>378</v>
      </c>
      <c r="B52" s="2" t="s">
        <v>336</v>
      </c>
      <c r="C52" s="2" t="s">
        <v>379</v>
      </c>
      <c r="D52" s="2">
        <v>2</v>
      </c>
      <c r="E52" s="3">
        <v>151.61000000000001</v>
      </c>
      <c r="F52" s="6">
        <f t="shared" si="0"/>
        <v>147.0617</v>
      </c>
      <c r="G52" s="28">
        <f t="shared" si="1"/>
        <v>73.530850000000001</v>
      </c>
      <c r="H52" s="8">
        <f t="shared" si="2"/>
        <v>198.53329500000001</v>
      </c>
    </row>
    <row r="53" spans="1:8" ht="30" customHeight="1" x14ac:dyDescent="0.25">
      <c r="A53" s="4" t="s">
        <v>378</v>
      </c>
      <c r="B53" s="4" t="s">
        <v>358</v>
      </c>
      <c r="C53" s="4" t="s">
        <v>380</v>
      </c>
      <c r="D53" s="4">
        <v>2.5</v>
      </c>
      <c r="E53" s="5">
        <v>151.61000000000001</v>
      </c>
      <c r="F53" s="6">
        <f t="shared" si="0"/>
        <v>147.0617</v>
      </c>
      <c r="G53" s="28">
        <f t="shared" si="1"/>
        <v>73.530850000000001</v>
      </c>
      <c r="H53" s="8">
        <f t="shared" si="2"/>
        <v>198.53329500000001</v>
      </c>
    </row>
    <row r="54" spans="1:8" ht="30" customHeight="1" x14ac:dyDescent="0.25">
      <c r="A54" s="2" t="s">
        <v>378</v>
      </c>
      <c r="B54" s="2" t="s">
        <v>381</v>
      </c>
      <c r="C54" s="2" t="s">
        <v>382</v>
      </c>
      <c r="D54" s="2">
        <v>2</v>
      </c>
      <c r="E54" s="3">
        <v>151.61000000000001</v>
      </c>
      <c r="F54" s="6">
        <f t="shared" si="0"/>
        <v>147.0617</v>
      </c>
      <c r="G54" s="28">
        <f t="shared" si="1"/>
        <v>73.530850000000001</v>
      </c>
      <c r="H54" s="8">
        <f t="shared" si="2"/>
        <v>198.53329500000001</v>
      </c>
    </row>
    <row r="55" spans="1:8" ht="30" customHeight="1" x14ac:dyDescent="0.25">
      <c r="A55" s="4" t="s">
        <v>378</v>
      </c>
      <c r="B55" s="4" t="s">
        <v>383</v>
      </c>
      <c r="C55" s="4" t="s">
        <v>384</v>
      </c>
      <c r="D55" s="4">
        <v>3</v>
      </c>
      <c r="E55" s="5">
        <v>151.61000000000001</v>
      </c>
      <c r="F55" s="6">
        <f t="shared" si="0"/>
        <v>147.0617</v>
      </c>
      <c r="G55" s="28">
        <f t="shared" si="1"/>
        <v>73.530850000000001</v>
      </c>
      <c r="H55" s="8">
        <f t="shared" si="2"/>
        <v>198.53329500000001</v>
      </c>
    </row>
    <row r="56" spans="1:8" ht="30" customHeight="1" x14ac:dyDescent="0.25">
      <c r="A56" s="2" t="s">
        <v>378</v>
      </c>
      <c r="B56" s="2" t="s">
        <v>324</v>
      </c>
      <c r="C56" s="2" t="s">
        <v>385</v>
      </c>
      <c r="D56" s="2">
        <v>2.7</v>
      </c>
      <c r="E56" s="3">
        <v>151.61000000000001</v>
      </c>
      <c r="F56" s="6">
        <f t="shared" si="0"/>
        <v>147.0617</v>
      </c>
      <c r="G56" s="28">
        <f t="shared" si="1"/>
        <v>73.530850000000001</v>
      </c>
      <c r="H56" s="8">
        <f t="shared" si="2"/>
        <v>198.53329500000001</v>
      </c>
    </row>
    <row r="57" spans="1:8" ht="30" customHeight="1" x14ac:dyDescent="0.25">
      <c r="A57" s="4" t="s">
        <v>378</v>
      </c>
      <c r="B57" s="4" t="s">
        <v>324</v>
      </c>
      <c r="C57" s="4" t="s">
        <v>386</v>
      </c>
      <c r="D57" s="4" t="s">
        <v>18</v>
      </c>
      <c r="E57" s="5">
        <v>151.61000000000001</v>
      </c>
      <c r="F57" s="6">
        <f t="shared" si="0"/>
        <v>147.0617</v>
      </c>
      <c r="G57" s="28">
        <f t="shared" si="1"/>
        <v>73.530850000000001</v>
      </c>
      <c r="H57" s="8">
        <f t="shared" si="2"/>
        <v>198.53329500000001</v>
      </c>
    </row>
    <row r="58" spans="1:8" ht="30" customHeight="1" x14ac:dyDescent="0.25">
      <c r="A58" s="2" t="s">
        <v>378</v>
      </c>
      <c r="B58" s="2" t="s">
        <v>324</v>
      </c>
      <c r="C58" s="2" t="s">
        <v>387</v>
      </c>
      <c r="D58" s="2">
        <v>2.7</v>
      </c>
      <c r="E58" s="3">
        <v>151.61000000000001</v>
      </c>
      <c r="F58" s="6">
        <f t="shared" si="0"/>
        <v>147.0617</v>
      </c>
      <c r="G58" s="28">
        <f t="shared" si="1"/>
        <v>73.530850000000001</v>
      </c>
      <c r="H58" s="8">
        <f t="shared" si="2"/>
        <v>198.53329500000001</v>
      </c>
    </row>
    <row r="59" spans="1:8" ht="30" customHeight="1" x14ac:dyDescent="0.25">
      <c r="A59" s="4" t="s">
        <v>378</v>
      </c>
      <c r="B59" s="4" t="s">
        <v>324</v>
      </c>
      <c r="C59" s="4" t="s">
        <v>388</v>
      </c>
      <c r="D59" s="4" t="s">
        <v>389</v>
      </c>
      <c r="E59" s="5">
        <v>151.61000000000001</v>
      </c>
      <c r="F59" s="6">
        <f t="shared" si="0"/>
        <v>147.0617</v>
      </c>
      <c r="G59" s="28">
        <f t="shared" si="1"/>
        <v>73.530850000000001</v>
      </c>
      <c r="H59" s="8">
        <f t="shared" si="2"/>
        <v>198.53329500000001</v>
      </c>
    </row>
    <row r="60" spans="1:8" ht="30" customHeight="1" x14ac:dyDescent="0.25">
      <c r="A60" s="2" t="s">
        <v>378</v>
      </c>
      <c r="B60" s="2" t="s">
        <v>390</v>
      </c>
      <c r="C60" s="2" t="s">
        <v>391</v>
      </c>
      <c r="D60" s="2">
        <v>3</v>
      </c>
      <c r="E60" s="3">
        <v>151.61000000000001</v>
      </c>
      <c r="F60" s="6">
        <f t="shared" si="0"/>
        <v>147.0617</v>
      </c>
      <c r="G60" s="28">
        <f t="shared" si="1"/>
        <v>73.530850000000001</v>
      </c>
      <c r="H60" s="8">
        <f t="shared" si="2"/>
        <v>198.53329500000001</v>
      </c>
    </row>
    <row r="61" spans="1:8" ht="30" customHeight="1" x14ac:dyDescent="0.25">
      <c r="A61" s="4" t="s">
        <v>378</v>
      </c>
      <c r="B61" s="4" t="s">
        <v>88</v>
      </c>
      <c r="C61" s="4" t="s">
        <v>392</v>
      </c>
      <c r="D61" s="4">
        <v>3.5</v>
      </c>
      <c r="E61" s="5">
        <v>151.61000000000001</v>
      </c>
      <c r="F61" s="6">
        <f t="shared" si="0"/>
        <v>147.0617</v>
      </c>
      <c r="G61" s="28">
        <f t="shared" si="1"/>
        <v>73.530850000000001</v>
      </c>
      <c r="H61" s="8">
        <f t="shared" si="2"/>
        <v>198.53329500000001</v>
      </c>
    </row>
    <row r="62" spans="1:8" ht="30" customHeight="1" x14ac:dyDescent="0.25">
      <c r="A62" s="2" t="s">
        <v>378</v>
      </c>
      <c r="B62" s="2" t="s">
        <v>393</v>
      </c>
      <c r="C62" s="2" t="s">
        <v>394</v>
      </c>
      <c r="D62" s="2">
        <v>2</v>
      </c>
      <c r="E62" s="3">
        <v>151.61000000000001</v>
      </c>
      <c r="F62" s="6">
        <f t="shared" si="0"/>
        <v>147.0617</v>
      </c>
      <c r="G62" s="28">
        <f t="shared" si="1"/>
        <v>73.530850000000001</v>
      </c>
      <c r="H62" s="8">
        <f t="shared" si="2"/>
        <v>198.53329500000001</v>
      </c>
    </row>
    <row r="63" spans="1:8" ht="30" customHeight="1" x14ac:dyDescent="0.25">
      <c r="A63" s="4" t="s">
        <v>378</v>
      </c>
      <c r="B63" s="4" t="s">
        <v>376</v>
      </c>
      <c r="C63" s="4" t="s">
        <v>395</v>
      </c>
      <c r="D63" s="4">
        <v>2</v>
      </c>
      <c r="E63" s="5">
        <v>151.61000000000001</v>
      </c>
      <c r="F63" s="6">
        <f t="shared" si="0"/>
        <v>147.0617</v>
      </c>
      <c r="G63" s="28">
        <f t="shared" si="1"/>
        <v>73.530850000000001</v>
      </c>
      <c r="H63" s="8">
        <f t="shared" si="2"/>
        <v>198.53329500000001</v>
      </c>
    </row>
    <row r="64" spans="1:8" ht="30" customHeight="1" x14ac:dyDescent="0.25">
      <c r="A64" s="2" t="s">
        <v>378</v>
      </c>
      <c r="B64" s="2" t="s">
        <v>396</v>
      </c>
      <c r="C64" s="2" t="s">
        <v>397</v>
      </c>
      <c r="D64" s="2" t="s">
        <v>18</v>
      </c>
      <c r="E64" s="3">
        <v>151.61000000000001</v>
      </c>
      <c r="F64" s="6">
        <f t="shared" si="0"/>
        <v>147.0617</v>
      </c>
      <c r="G64" s="28">
        <f t="shared" si="1"/>
        <v>73.530850000000001</v>
      </c>
      <c r="H64" s="8">
        <f t="shared" si="2"/>
        <v>198.53329500000001</v>
      </c>
    </row>
    <row r="65" spans="1:8" ht="30" customHeight="1" x14ac:dyDescent="0.25">
      <c r="A65" s="4" t="s">
        <v>378</v>
      </c>
      <c r="B65" s="4" t="s">
        <v>398</v>
      </c>
      <c r="C65" s="4" t="s">
        <v>399</v>
      </c>
      <c r="D65" s="4">
        <v>2.4</v>
      </c>
      <c r="E65" s="13">
        <v>15161</v>
      </c>
      <c r="F65" s="6">
        <f t="shared" si="0"/>
        <v>14706.17</v>
      </c>
      <c r="G65" s="28">
        <f t="shared" si="1"/>
        <v>7353.085</v>
      </c>
      <c r="H65" s="8">
        <f t="shared" si="2"/>
        <v>19853.3295</v>
      </c>
    </row>
    <row r="66" spans="1:8" ht="30" customHeight="1" x14ac:dyDescent="0.25">
      <c r="A66" s="2" t="s">
        <v>378</v>
      </c>
      <c r="B66" s="2" t="s">
        <v>398</v>
      </c>
      <c r="C66" s="2" t="s">
        <v>400</v>
      </c>
      <c r="D66" s="2" t="s">
        <v>18</v>
      </c>
      <c r="E66" s="3">
        <v>151.61000000000001</v>
      </c>
      <c r="F66" s="6">
        <f t="shared" si="0"/>
        <v>147.0617</v>
      </c>
      <c r="G66" s="28">
        <f t="shared" si="1"/>
        <v>73.530850000000001</v>
      </c>
      <c r="H66" s="8">
        <f t="shared" si="2"/>
        <v>198.53329500000001</v>
      </c>
    </row>
    <row r="67" spans="1:8" ht="30" customHeight="1" x14ac:dyDescent="0.25">
      <c r="A67" s="4" t="s">
        <v>378</v>
      </c>
      <c r="B67" s="4" t="s">
        <v>398</v>
      </c>
      <c r="C67" s="4" t="s">
        <v>401</v>
      </c>
      <c r="D67" s="4">
        <v>2</v>
      </c>
      <c r="E67" s="5">
        <v>151.61000000000001</v>
      </c>
      <c r="F67" s="6">
        <f t="shared" ref="F67:F130" si="3">E67*0.97</f>
        <v>147.0617</v>
      </c>
      <c r="G67" s="28">
        <f t="shared" ref="G67:G130" si="4">F67/2</f>
        <v>73.530850000000001</v>
      </c>
      <c r="H67" s="8">
        <f t="shared" ref="H67:H130" si="5">F67*1.35</f>
        <v>198.53329500000001</v>
      </c>
    </row>
    <row r="68" spans="1:8" ht="30" customHeight="1" x14ac:dyDescent="0.25">
      <c r="A68" s="2" t="s">
        <v>378</v>
      </c>
      <c r="B68" s="2" t="s">
        <v>25</v>
      </c>
      <c r="C68" s="2" t="s">
        <v>402</v>
      </c>
      <c r="D68" s="2">
        <v>2.5</v>
      </c>
      <c r="E68" s="3">
        <v>151.61000000000001</v>
      </c>
      <c r="F68" s="6">
        <f t="shared" si="3"/>
        <v>147.0617</v>
      </c>
      <c r="G68" s="28">
        <f t="shared" si="4"/>
        <v>73.530850000000001</v>
      </c>
      <c r="H68" s="8">
        <f t="shared" si="5"/>
        <v>198.53329500000001</v>
      </c>
    </row>
    <row r="69" spans="1:8" ht="30" customHeight="1" x14ac:dyDescent="0.25">
      <c r="A69" s="4" t="s">
        <v>378</v>
      </c>
      <c r="B69" s="4" t="s">
        <v>25</v>
      </c>
      <c r="C69" s="4" t="s">
        <v>403</v>
      </c>
      <c r="D69" s="4">
        <v>2.5</v>
      </c>
      <c r="E69" s="5">
        <v>151.61000000000001</v>
      </c>
      <c r="F69" s="6">
        <f t="shared" si="3"/>
        <v>147.0617</v>
      </c>
      <c r="G69" s="28">
        <f t="shared" si="4"/>
        <v>73.530850000000001</v>
      </c>
      <c r="H69" s="8">
        <f t="shared" si="5"/>
        <v>198.53329500000001</v>
      </c>
    </row>
    <row r="70" spans="1:8" ht="30" customHeight="1" x14ac:dyDescent="0.25">
      <c r="A70" s="2" t="s">
        <v>404</v>
      </c>
      <c r="B70" s="2" t="s">
        <v>336</v>
      </c>
      <c r="C70" s="2" t="s">
        <v>405</v>
      </c>
      <c r="D70" s="2">
        <v>3</v>
      </c>
      <c r="E70" s="3">
        <v>189.61</v>
      </c>
      <c r="F70" s="6">
        <f t="shared" si="3"/>
        <v>183.92170000000002</v>
      </c>
      <c r="G70" s="28">
        <f t="shared" si="4"/>
        <v>91.960850000000008</v>
      </c>
      <c r="H70" s="8">
        <f t="shared" si="5"/>
        <v>248.29429500000003</v>
      </c>
    </row>
    <row r="71" spans="1:8" ht="30" customHeight="1" x14ac:dyDescent="0.25">
      <c r="A71" s="4" t="s">
        <v>404</v>
      </c>
      <c r="B71" s="4" t="s">
        <v>358</v>
      </c>
      <c r="C71" s="4" t="s">
        <v>406</v>
      </c>
      <c r="D71" s="4" t="s">
        <v>18</v>
      </c>
      <c r="E71" s="5">
        <v>189.61</v>
      </c>
      <c r="F71" s="6">
        <f t="shared" si="3"/>
        <v>183.92170000000002</v>
      </c>
      <c r="G71" s="28">
        <f t="shared" si="4"/>
        <v>91.960850000000008</v>
      </c>
      <c r="H71" s="8">
        <f t="shared" si="5"/>
        <v>248.29429500000003</v>
      </c>
    </row>
    <row r="72" spans="1:8" ht="30" customHeight="1" x14ac:dyDescent="0.25">
      <c r="A72" s="2" t="s">
        <v>404</v>
      </c>
      <c r="B72" s="2" t="s">
        <v>358</v>
      </c>
      <c r="C72" s="2" t="s">
        <v>407</v>
      </c>
      <c r="D72" s="2">
        <v>3</v>
      </c>
      <c r="E72" s="3">
        <v>189.61</v>
      </c>
      <c r="F72" s="6">
        <f t="shared" si="3"/>
        <v>183.92170000000002</v>
      </c>
      <c r="G72" s="28">
        <f t="shared" si="4"/>
        <v>91.960850000000008</v>
      </c>
      <c r="H72" s="8">
        <f t="shared" si="5"/>
        <v>248.29429500000003</v>
      </c>
    </row>
    <row r="73" spans="1:8" ht="30" customHeight="1" x14ac:dyDescent="0.25">
      <c r="A73" s="4" t="s">
        <v>404</v>
      </c>
      <c r="B73" s="4" t="s">
        <v>358</v>
      </c>
      <c r="C73" s="4" t="s">
        <v>408</v>
      </c>
      <c r="D73" s="4">
        <v>3</v>
      </c>
      <c r="E73" s="5">
        <v>189.61</v>
      </c>
      <c r="F73" s="6">
        <f t="shared" si="3"/>
        <v>183.92170000000002</v>
      </c>
      <c r="G73" s="28">
        <f t="shared" si="4"/>
        <v>91.960850000000008</v>
      </c>
      <c r="H73" s="8">
        <f t="shared" si="5"/>
        <v>248.29429500000003</v>
      </c>
    </row>
    <row r="74" spans="1:8" ht="30" customHeight="1" x14ac:dyDescent="0.25">
      <c r="A74" s="2" t="s">
        <v>404</v>
      </c>
      <c r="B74" s="2" t="s">
        <v>358</v>
      </c>
      <c r="C74" s="2" t="s">
        <v>409</v>
      </c>
      <c r="D74" s="2">
        <v>2.5</v>
      </c>
      <c r="E74" s="3">
        <v>189.61</v>
      </c>
      <c r="F74" s="6">
        <f t="shared" si="3"/>
        <v>183.92170000000002</v>
      </c>
      <c r="G74" s="28">
        <f t="shared" si="4"/>
        <v>91.960850000000008</v>
      </c>
      <c r="H74" s="8">
        <f t="shared" si="5"/>
        <v>248.29429500000003</v>
      </c>
    </row>
    <row r="75" spans="1:8" ht="30" customHeight="1" x14ac:dyDescent="0.25">
      <c r="A75" s="4" t="s">
        <v>404</v>
      </c>
      <c r="B75" s="4" t="s">
        <v>381</v>
      </c>
      <c r="C75" s="4" t="s">
        <v>410</v>
      </c>
      <c r="D75" s="4">
        <v>2</v>
      </c>
      <c r="E75" s="5">
        <v>189.61</v>
      </c>
      <c r="F75" s="6">
        <f t="shared" si="3"/>
        <v>183.92170000000002</v>
      </c>
      <c r="G75" s="28">
        <f t="shared" si="4"/>
        <v>91.960850000000008</v>
      </c>
      <c r="H75" s="8">
        <f t="shared" si="5"/>
        <v>248.29429500000003</v>
      </c>
    </row>
    <row r="76" spans="1:8" ht="30" customHeight="1" x14ac:dyDescent="0.25">
      <c r="A76" s="2" t="s">
        <v>404</v>
      </c>
      <c r="B76" s="2" t="s">
        <v>381</v>
      </c>
      <c r="C76" s="2" t="s">
        <v>411</v>
      </c>
      <c r="D76" s="2">
        <v>3</v>
      </c>
      <c r="E76" s="3">
        <v>189.61</v>
      </c>
      <c r="F76" s="6">
        <f t="shared" si="3"/>
        <v>183.92170000000002</v>
      </c>
      <c r="G76" s="28">
        <f t="shared" si="4"/>
        <v>91.960850000000008</v>
      </c>
      <c r="H76" s="8">
        <f t="shared" si="5"/>
        <v>248.29429500000003</v>
      </c>
    </row>
    <row r="77" spans="1:8" ht="30" customHeight="1" x14ac:dyDescent="0.25">
      <c r="A77" s="4" t="s">
        <v>404</v>
      </c>
      <c r="B77" s="4" t="s">
        <v>383</v>
      </c>
      <c r="C77" s="4" t="s">
        <v>412</v>
      </c>
      <c r="D77" s="4">
        <v>4.7</v>
      </c>
      <c r="E77" s="5">
        <v>189.61</v>
      </c>
      <c r="F77" s="6">
        <f t="shared" si="3"/>
        <v>183.92170000000002</v>
      </c>
      <c r="G77" s="28">
        <f t="shared" si="4"/>
        <v>91.960850000000008</v>
      </c>
      <c r="H77" s="8">
        <f t="shared" si="5"/>
        <v>248.29429500000003</v>
      </c>
    </row>
    <row r="78" spans="1:8" ht="30" customHeight="1" x14ac:dyDescent="0.25">
      <c r="A78" s="2" t="s">
        <v>404</v>
      </c>
      <c r="B78" s="2" t="s">
        <v>383</v>
      </c>
      <c r="C78" s="2" t="s">
        <v>413</v>
      </c>
      <c r="D78" s="2"/>
      <c r="E78" s="3">
        <v>189.61</v>
      </c>
      <c r="F78" s="6">
        <f t="shared" si="3"/>
        <v>183.92170000000002</v>
      </c>
      <c r="G78" s="28">
        <f t="shared" si="4"/>
        <v>91.960850000000008</v>
      </c>
      <c r="H78" s="8">
        <f t="shared" si="5"/>
        <v>248.29429500000003</v>
      </c>
    </row>
    <row r="79" spans="1:8" ht="30" customHeight="1" x14ac:dyDescent="0.25">
      <c r="A79" s="4" t="s">
        <v>404</v>
      </c>
      <c r="B79" s="4" t="s">
        <v>324</v>
      </c>
      <c r="C79" s="4" t="s">
        <v>414</v>
      </c>
      <c r="D79" s="4">
        <v>4.4000000000000004</v>
      </c>
      <c r="E79" s="5">
        <v>189.61</v>
      </c>
      <c r="F79" s="6">
        <f t="shared" si="3"/>
        <v>183.92170000000002</v>
      </c>
      <c r="G79" s="28">
        <f t="shared" si="4"/>
        <v>91.960850000000008</v>
      </c>
      <c r="H79" s="8">
        <f t="shared" si="5"/>
        <v>248.29429500000003</v>
      </c>
    </row>
    <row r="80" spans="1:8" ht="30" customHeight="1" x14ac:dyDescent="0.25">
      <c r="A80" s="2" t="s">
        <v>404</v>
      </c>
      <c r="B80" s="2" t="s">
        <v>324</v>
      </c>
      <c r="C80" s="2" t="s">
        <v>415</v>
      </c>
      <c r="D80" s="2">
        <v>3</v>
      </c>
      <c r="E80" s="3">
        <v>189.61</v>
      </c>
      <c r="F80" s="6">
        <f t="shared" si="3"/>
        <v>183.92170000000002</v>
      </c>
      <c r="G80" s="28">
        <f t="shared" si="4"/>
        <v>91.960850000000008</v>
      </c>
      <c r="H80" s="8">
        <f t="shared" si="5"/>
        <v>248.29429500000003</v>
      </c>
    </row>
    <row r="81" spans="1:8" ht="30" customHeight="1" x14ac:dyDescent="0.25">
      <c r="A81" s="4" t="s">
        <v>404</v>
      </c>
      <c r="B81" s="4" t="s">
        <v>324</v>
      </c>
      <c r="C81" s="4" t="s">
        <v>416</v>
      </c>
      <c r="D81" s="4">
        <v>3</v>
      </c>
      <c r="E81" s="5">
        <v>189.61</v>
      </c>
      <c r="F81" s="6">
        <f t="shared" si="3"/>
        <v>183.92170000000002</v>
      </c>
      <c r="G81" s="28">
        <f t="shared" si="4"/>
        <v>91.960850000000008</v>
      </c>
      <c r="H81" s="8">
        <f t="shared" si="5"/>
        <v>248.29429500000003</v>
      </c>
    </row>
    <row r="82" spans="1:8" ht="30" customHeight="1" x14ac:dyDescent="0.25">
      <c r="A82" s="2" t="s">
        <v>404</v>
      </c>
      <c r="B82" s="2" t="s">
        <v>324</v>
      </c>
      <c r="C82" s="2" t="s">
        <v>417</v>
      </c>
      <c r="D82" s="2">
        <v>2</v>
      </c>
      <c r="E82" s="3">
        <v>189.61</v>
      </c>
      <c r="F82" s="6">
        <f t="shared" si="3"/>
        <v>183.92170000000002</v>
      </c>
      <c r="G82" s="28">
        <f t="shared" si="4"/>
        <v>91.960850000000008</v>
      </c>
      <c r="H82" s="8">
        <f t="shared" si="5"/>
        <v>248.29429500000003</v>
      </c>
    </row>
    <row r="83" spans="1:8" ht="30" customHeight="1" x14ac:dyDescent="0.25">
      <c r="A83" s="4" t="s">
        <v>404</v>
      </c>
      <c r="B83" s="4" t="s">
        <v>324</v>
      </c>
      <c r="C83" s="4" t="s">
        <v>418</v>
      </c>
      <c r="D83" s="4">
        <v>3</v>
      </c>
      <c r="E83" s="5">
        <v>189.61</v>
      </c>
      <c r="F83" s="6">
        <f t="shared" si="3"/>
        <v>183.92170000000002</v>
      </c>
      <c r="G83" s="28">
        <f t="shared" si="4"/>
        <v>91.960850000000008</v>
      </c>
      <c r="H83" s="8">
        <f t="shared" si="5"/>
        <v>248.29429500000003</v>
      </c>
    </row>
    <row r="84" spans="1:8" ht="30" customHeight="1" x14ac:dyDescent="0.25">
      <c r="A84" s="2" t="s">
        <v>404</v>
      </c>
      <c r="B84" s="2" t="s">
        <v>306</v>
      </c>
      <c r="C84" s="2" t="s">
        <v>419</v>
      </c>
      <c r="D84" s="2" t="s">
        <v>18</v>
      </c>
      <c r="E84" s="3">
        <v>189.61</v>
      </c>
      <c r="F84" s="6">
        <f t="shared" si="3"/>
        <v>183.92170000000002</v>
      </c>
      <c r="G84" s="28">
        <f t="shared" si="4"/>
        <v>91.960850000000008</v>
      </c>
      <c r="H84" s="8">
        <f t="shared" si="5"/>
        <v>248.29429500000003</v>
      </c>
    </row>
    <row r="85" spans="1:8" ht="30" customHeight="1" x14ac:dyDescent="0.25">
      <c r="A85" s="4" t="s">
        <v>404</v>
      </c>
      <c r="B85" s="4" t="s">
        <v>306</v>
      </c>
      <c r="C85" s="4" t="s">
        <v>420</v>
      </c>
      <c r="D85" s="4">
        <v>2.5</v>
      </c>
      <c r="E85" s="5">
        <v>189.61</v>
      </c>
      <c r="F85" s="6">
        <f t="shared" si="3"/>
        <v>183.92170000000002</v>
      </c>
      <c r="G85" s="28">
        <f t="shared" si="4"/>
        <v>91.960850000000008</v>
      </c>
      <c r="H85" s="8">
        <f t="shared" si="5"/>
        <v>248.29429500000003</v>
      </c>
    </row>
    <row r="86" spans="1:8" ht="30" customHeight="1" x14ac:dyDescent="0.25">
      <c r="A86" s="2" t="s">
        <v>404</v>
      </c>
      <c r="B86" s="2" t="s">
        <v>306</v>
      </c>
      <c r="C86" s="2" t="s">
        <v>421</v>
      </c>
      <c r="D86" s="2" t="s">
        <v>18</v>
      </c>
      <c r="E86" s="3">
        <v>189.61</v>
      </c>
      <c r="F86" s="6">
        <f t="shared" si="3"/>
        <v>183.92170000000002</v>
      </c>
      <c r="G86" s="28">
        <f t="shared" si="4"/>
        <v>91.960850000000008</v>
      </c>
      <c r="H86" s="8">
        <f t="shared" si="5"/>
        <v>248.29429500000003</v>
      </c>
    </row>
    <row r="87" spans="1:8" ht="30" customHeight="1" x14ac:dyDescent="0.25">
      <c r="A87" s="4" t="s">
        <v>404</v>
      </c>
      <c r="B87" s="4" t="s">
        <v>393</v>
      </c>
      <c r="C87" s="4" t="s">
        <v>422</v>
      </c>
      <c r="D87" s="4">
        <v>3</v>
      </c>
      <c r="E87" s="5">
        <v>189.61</v>
      </c>
      <c r="F87" s="6">
        <f t="shared" si="3"/>
        <v>183.92170000000002</v>
      </c>
      <c r="G87" s="28">
        <f t="shared" si="4"/>
        <v>91.960850000000008</v>
      </c>
      <c r="H87" s="8">
        <f t="shared" si="5"/>
        <v>248.29429500000003</v>
      </c>
    </row>
    <row r="88" spans="1:8" ht="30" customHeight="1" x14ac:dyDescent="0.25">
      <c r="A88" s="2" t="s">
        <v>404</v>
      </c>
      <c r="B88" s="2" t="s">
        <v>376</v>
      </c>
      <c r="C88" s="2" t="s">
        <v>423</v>
      </c>
      <c r="D88" s="2">
        <v>2</v>
      </c>
      <c r="E88" s="3">
        <v>189.61</v>
      </c>
      <c r="F88" s="6">
        <f t="shared" si="3"/>
        <v>183.92170000000002</v>
      </c>
      <c r="G88" s="28">
        <f t="shared" si="4"/>
        <v>91.960850000000008</v>
      </c>
      <c r="H88" s="8">
        <f t="shared" si="5"/>
        <v>248.29429500000003</v>
      </c>
    </row>
    <row r="89" spans="1:8" ht="30" customHeight="1" x14ac:dyDescent="0.25">
      <c r="A89" s="4" t="s">
        <v>404</v>
      </c>
      <c r="B89" s="4" t="s">
        <v>376</v>
      </c>
      <c r="C89" s="4" t="s">
        <v>424</v>
      </c>
      <c r="D89" s="4">
        <v>2</v>
      </c>
      <c r="E89" s="5">
        <v>189.61</v>
      </c>
      <c r="F89" s="6">
        <f t="shared" si="3"/>
        <v>183.92170000000002</v>
      </c>
      <c r="G89" s="28">
        <f t="shared" si="4"/>
        <v>91.960850000000008</v>
      </c>
      <c r="H89" s="8">
        <f t="shared" si="5"/>
        <v>248.29429500000003</v>
      </c>
    </row>
    <row r="90" spans="1:8" ht="30" customHeight="1" x14ac:dyDescent="0.25">
      <c r="A90" s="2" t="s">
        <v>404</v>
      </c>
      <c r="B90" s="2" t="s">
        <v>21</v>
      </c>
      <c r="C90" s="2" t="s">
        <v>425</v>
      </c>
      <c r="D90" s="2">
        <v>3</v>
      </c>
      <c r="E90" s="3">
        <v>189.61</v>
      </c>
      <c r="F90" s="6">
        <f t="shared" si="3"/>
        <v>183.92170000000002</v>
      </c>
      <c r="G90" s="28">
        <f t="shared" si="4"/>
        <v>91.960850000000008</v>
      </c>
      <c r="H90" s="8">
        <f t="shared" si="5"/>
        <v>248.29429500000003</v>
      </c>
    </row>
    <row r="91" spans="1:8" ht="30" customHeight="1" x14ac:dyDescent="0.25">
      <c r="A91" s="4" t="s">
        <v>404</v>
      </c>
      <c r="B91" s="4" t="s">
        <v>398</v>
      </c>
      <c r="C91" s="4" t="s">
        <v>426</v>
      </c>
      <c r="D91" s="4">
        <v>2.5</v>
      </c>
      <c r="E91" s="5">
        <v>189.61</v>
      </c>
      <c r="F91" s="6">
        <f t="shared" si="3"/>
        <v>183.92170000000002</v>
      </c>
      <c r="G91" s="28">
        <f t="shared" si="4"/>
        <v>91.960850000000008</v>
      </c>
      <c r="H91" s="8">
        <f t="shared" si="5"/>
        <v>248.29429500000003</v>
      </c>
    </row>
    <row r="92" spans="1:8" ht="30" customHeight="1" x14ac:dyDescent="0.25">
      <c r="A92" s="2" t="s">
        <v>404</v>
      </c>
      <c r="B92" s="2" t="s">
        <v>25</v>
      </c>
      <c r="C92" s="2" t="s">
        <v>427</v>
      </c>
      <c r="D92" s="2">
        <v>3</v>
      </c>
      <c r="E92" s="3">
        <v>189.61</v>
      </c>
      <c r="F92" s="6">
        <f t="shared" si="3"/>
        <v>183.92170000000002</v>
      </c>
      <c r="G92" s="28">
        <f t="shared" si="4"/>
        <v>91.960850000000008</v>
      </c>
      <c r="H92" s="8">
        <f t="shared" si="5"/>
        <v>248.29429500000003</v>
      </c>
    </row>
    <row r="93" spans="1:8" ht="30" customHeight="1" x14ac:dyDescent="0.25">
      <c r="A93" s="4" t="s">
        <v>428</v>
      </c>
      <c r="B93" s="4" t="s">
        <v>336</v>
      </c>
      <c r="C93" s="4" t="s">
        <v>429</v>
      </c>
      <c r="D93" s="4">
        <v>3.2</v>
      </c>
      <c r="E93" s="5">
        <v>213.32</v>
      </c>
      <c r="F93" s="6">
        <f t="shared" si="3"/>
        <v>206.9204</v>
      </c>
      <c r="G93" s="28">
        <f t="shared" si="4"/>
        <v>103.4602</v>
      </c>
      <c r="H93" s="8">
        <f t="shared" si="5"/>
        <v>279.34254000000004</v>
      </c>
    </row>
    <row r="94" spans="1:8" ht="30" customHeight="1" x14ac:dyDescent="0.25">
      <c r="A94" s="2" t="s">
        <v>428</v>
      </c>
      <c r="B94" s="2" t="s">
        <v>336</v>
      </c>
      <c r="C94" s="2" t="s">
        <v>430</v>
      </c>
      <c r="D94" s="2">
        <v>3</v>
      </c>
      <c r="E94" s="3">
        <v>213.32</v>
      </c>
      <c r="F94" s="6">
        <f t="shared" si="3"/>
        <v>206.9204</v>
      </c>
      <c r="G94" s="28">
        <f t="shared" si="4"/>
        <v>103.4602</v>
      </c>
      <c r="H94" s="8">
        <f t="shared" si="5"/>
        <v>279.34254000000004</v>
      </c>
    </row>
    <row r="95" spans="1:8" ht="30" customHeight="1" x14ac:dyDescent="0.25">
      <c r="A95" s="4" t="s">
        <v>428</v>
      </c>
      <c r="B95" s="4" t="s">
        <v>336</v>
      </c>
      <c r="C95" s="4" t="s">
        <v>431</v>
      </c>
      <c r="D95" s="4">
        <v>3</v>
      </c>
      <c r="E95" s="5">
        <v>213.32</v>
      </c>
      <c r="F95" s="6">
        <f t="shared" si="3"/>
        <v>206.9204</v>
      </c>
      <c r="G95" s="28">
        <f t="shared" si="4"/>
        <v>103.4602</v>
      </c>
      <c r="H95" s="8">
        <f t="shared" si="5"/>
        <v>279.34254000000004</v>
      </c>
    </row>
    <row r="96" spans="1:8" ht="30" customHeight="1" x14ac:dyDescent="0.25">
      <c r="A96" s="2" t="s">
        <v>428</v>
      </c>
      <c r="B96" s="2" t="s">
        <v>336</v>
      </c>
      <c r="C96" s="2" t="s">
        <v>432</v>
      </c>
      <c r="D96" s="2">
        <v>3.1</v>
      </c>
      <c r="E96" s="3">
        <v>213.32</v>
      </c>
      <c r="F96" s="6">
        <f t="shared" si="3"/>
        <v>206.9204</v>
      </c>
      <c r="G96" s="28">
        <f t="shared" si="4"/>
        <v>103.4602</v>
      </c>
      <c r="H96" s="8">
        <f t="shared" si="5"/>
        <v>279.34254000000004</v>
      </c>
    </row>
    <row r="97" spans="1:8" ht="30" customHeight="1" x14ac:dyDescent="0.25">
      <c r="A97" s="4" t="s">
        <v>428</v>
      </c>
      <c r="B97" s="4" t="s">
        <v>358</v>
      </c>
      <c r="C97" s="4" t="s">
        <v>433</v>
      </c>
      <c r="D97" s="4" t="s">
        <v>18</v>
      </c>
      <c r="E97" s="5">
        <v>213.32</v>
      </c>
      <c r="F97" s="6">
        <f t="shared" si="3"/>
        <v>206.9204</v>
      </c>
      <c r="G97" s="28">
        <f t="shared" si="4"/>
        <v>103.4602</v>
      </c>
      <c r="H97" s="8">
        <f t="shared" si="5"/>
        <v>279.34254000000004</v>
      </c>
    </row>
    <row r="98" spans="1:8" ht="30" customHeight="1" x14ac:dyDescent="0.25">
      <c r="A98" s="2" t="s">
        <v>428</v>
      </c>
      <c r="B98" s="2" t="s">
        <v>358</v>
      </c>
      <c r="C98" s="2" t="s">
        <v>434</v>
      </c>
      <c r="D98" s="2">
        <v>3</v>
      </c>
      <c r="E98" s="3">
        <v>213.32</v>
      </c>
      <c r="F98" s="6">
        <f t="shared" si="3"/>
        <v>206.9204</v>
      </c>
      <c r="G98" s="28">
        <f t="shared" si="4"/>
        <v>103.4602</v>
      </c>
      <c r="H98" s="8">
        <f t="shared" si="5"/>
        <v>279.34254000000004</v>
      </c>
    </row>
    <row r="99" spans="1:8" ht="30" customHeight="1" x14ac:dyDescent="0.25">
      <c r="A99" s="4" t="s">
        <v>428</v>
      </c>
      <c r="B99" s="4" t="s">
        <v>435</v>
      </c>
      <c r="C99" s="4" t="s">
        <v>436</v>
      </c>
      <c r="D99" s="4" t="s">
        <v>18</v>
      </c>
      <c r="E99" s="5">
        <v>213.32</v>
      </c>
      <c r="F99" s="6">
        <f t="shared" si="3"/>
        <v>206.9204</v>
      </c>
      <c r="G99" s="28">
        <f t="shared" si="4"/>
        <v>103.4602</v>
      </c>
      <c r="H99" s="8">
        <f t="shared" si="5"/>
        <v>279.34254000000004</v>
      </c>
    </row>
    <row r="100" spans="1:8" ht="30" customHeight="1" x14ac:dyDescent="0.25">
      <c r="A100" s="2" t="s">
        <v>428</v>
      </c>
      <c r="B100" s="2" t="s">
        <v>435</v>
      </c>
      <c r="C100" s="2" t="s">
        <v>437</v>
      </c>
      <c r="D100" s="2" t="s">
        <v>18</v>
      </c>
      <c r="E100" s="3">
        <v>213.32</v>
      </c>
      <c r="F100" s="6">
        <f t="shared" si="3"/>
        <v>206.9204</v>
      </c>
      <c r="G100" s="28">
        <f t="shared" si="4"/>
        <v>103.4602</v>
      </c>
      <c r="H100" s="8">
        <f t="shared" si="5"/>
        <v>279.34254000000004</v>
      </c>
    </row>
    <row r="101" spans="1:8" ht="30" customHeight="1" x14ac:dyDescent="0.25">
      <c r="A101" s="4" t="s">
        <v>428</v>
      </c>
      <c r="B101" s="4" t="s">
        <v>381</v>
      </c>
      <c r="C101" s="4" t="s">
        <v>438</v>
      </c>
      <c r="D101" s="4">
        <v>3</v>
      </c>
      <c r="E101" s="5">
        <v>213.32</v>
      </c>
      <c r="F101" s="6">
        <f t="shared" si="3"/>
        <v>206.9204</v>
      </c>
      <c r="G101" s="28">
        <f t="shared" si="4"/>
        <v>103.4602</v>
      </c>
      <c r="H101" s="8">
        <f t="shared" si="5"/>
        <v>279.34254000000004</v>
      </c>
    </row>
    <row r="102" spans="1:8" ht="30" customHeight="1" x14ac:dyDescent="0.25">
      <c r="A102" s="2" t="s">
        <v>428</v>
      </c>
      <c r="B102" s="2" t="s">
        <v>324</v>
      </c>
      <c r="C102" s="2" t="s">
        <v>439</v>
      </c>
      <c r="D102" s="2" t="s">
        <v>18</v>
      </c>
      <c r="E102" s="3">
        <v>213.32</v>
      </c>
      <c r="F102" s="6">
        <f t="shared" si="3"/>
        <v>206.9204</v>
      </c>
      <c r="G102" s="28">
        <f t="shared" si="4"/>
        <v>103.4602</v>
      </c>
      <c r="H102" s="8">
        <f t="shared" si="5"/>
        <v>279.34254000000004</v>
      </c>
    </row>
    <row r="103" spans="1:8" ht="30" customHeight="1" x14ac:dyDescent="0.25">
      <c r="A103" s="4" t="s">
        <v>428</v>
      </c>
      <c r="B103" s="4" t="s">
        <v>324</v>
      </c>
      <c r="C103" s="4" t="s">
        <v>440</v>
      </c>
      <c r="D103" s="4">
        <v>3</v>
      </c>
      <c r="E103" s="5">
        <v>213.32</v>
      </c>
      <c r="F103" s="6">
        <f t="shared" si="3"/>
        <v>206.9204</v>
      </c>
      <c r="G103" s="28">
        <f t="shared" si="4"/>
        <v>103.4602</v>
      </c>
      <c r="H103" s="8">
        <f t="shared" si="5"/>
        <v>279.34254000000004</v>
      </c>
    </row>
    <row r="104" spans="1:8" ht="30" customHeight="1" x14ac:dyDescent="0.25">
      <c r="A104" s="2" t="s">
        <v>428</v>
      </c>
      <c r="B104" s="2" t="s">
        <v>390</v>
      </c>
      <c r="C104" s="2" t="s">
        <v>441</v>
      </c>
      <c r="D104" s="2" t="s">
        <v>18</v>
      </c>
      <c r="E104" s="3">
        <v>213.32</v>
      </c>
      <c r="F104" s="6">
        <f t="shared" si="3"/>
        <v>206.9204</v>
      </c>
      <c r="G104" s="28">
        <f t="shared" si="4"/>
        <v>103.4602</v>
      </c>
      <c r="H104" s="8">
        <f t="shared" si="5"/>
        <v>279.34254000000004</v>
      </c>
    </row>
    <row r="105" spans="1:8" ht="30" customHeight="1" x14ac:dyDescent="0.25">
      <c r="A105" s="4" t="s">
        <v>428</v>
      </c>
      <c r="B105" s="4" t="s">
        <v>306</v>
      </c>
      <c r="C105" s="4" t="s">
        <v>442</v>
      </c>
      <c r="D105" s="4">
        <v>3</v>
      </c>
      <c r="E105" s="5">
        <v>213.32</v>
      </c>
      <c r="F105" s="6">
        <f t="shared" si="3"/>
        <v>206.9204</v>
      </c>
      <c r="G105" s="28">
        <f t="shared" si="4"/>
        <v>103.4602</v>
      </c>
      <c r="H105" s="8">
        <f t="shared" si="5"/>
        <v>279.34254000000004</v>
      </c>
    </row>
    <row r="106" spans="1:8" ht="30" customHeight="1" x14ac:dyDescent="0.25">
      <c r="A106" s="2" t="s">
        <v>428</v>
      </c>
      <c r="B106" s="2" t="s">
        <v>306</v>
      </c>
      <c r="C106" s="2" t="s">
        <v>443</v>
      </c>
      <c r="D106" s="2">
        <v>3.5</v>
      </c>
      <c r="E106" s="3">
        <v>213.32</v>
      </c>
      <c r="F106" s="6">
        <f t="shared" si="3"/>
        <v>206.9204</v>
      </c>
      <c r="G106" s="28">
        <f t="shared" si="4"/>
        <v>103.4602</v>
      </c>
      <c r="H106" s="8">
        <f t="shared" si="5"/>
        <v>279.34254000000004</v>
      </c>
    </row>
    <row r="107" spans="1:8" ht="30" customHeight="1" x14ac:dyDescent="0.25">
      <c r="A107" s="4" t="s">
        <v>428</v>
      </c>
      <c r="B107" s="4" t="s">
        <v>306</v>
      </c>
      <c r="C107" s="4" t="s">
        <v>444</v>
      </c>
      <c r="D107" s="4">
        <v>3</v>
      </c>
      <c r="E107" s="5">
        <v>213.32</v>
      </c>
      <c r="F107" s="6">
        <f t="shared" si="3"/>
        <v>206.9204</v>
      </c>
      <c r="G107" s="28">
        <f t="shared" si="4"/>
        <v>103.4602</v>
      </c>
      <c r="H107" s="8">
        <f t="shared" si="5"/>
        <v>279.34254000000004</v>
      </c>
    </row>
    <row r="108" spans="1:8" ht="30" customHeight="1" x14ac:dyDescent="0.25">
      <c r="A108" s="2" t="s">
        <v>428</v>
      </c>
      <c r="B108" s="2" t="s">
        <v>393</v>
      </c>
      <c r="C108" s="2" t="s">
        <v>445</v>
      </c>
      <c r="D108" s="2">
        <v>3.2</v>
      </c>
      <c r="E108" s="3">
        <v>213.32</v>
      </c>
      <c r="F108" s="6">
        <f t="shared" si="3"/>
        <v>206.9204</v>
      </c>
      <c r="G108" s="28">
        <f t="shared" si="4"/>
        <v>103.4602</v>
      </c>
      <c r="H108" s="8">
        <f t="shared" si="5"/>
        <v>279.34254000000004</v>
      </c>
    </row>
    <row r="109" spans="1:8" ht="30" customHeight="1" x14ac:dyDescent="0.25">
      <c r="A109" s="4" t="s">
        <v>428</v>
      </c>
      <c r="B109" s="4" t="s">
        <v>393</v>
      </c>
      <c r="C109" s="4" t="s">
        <v>446</v>
      </c>
      <c r="D109" s="4">
        <v>3</v>
      </c>
      <c r="E109" s="5">
        <v>213.32</v>
      </c>
      <c r="F109" s="6">
        <f t="shared" si="3"/>
        <v>206.9204</v>
      </c>
      <c r="G109" s="28">
        <f t="shared" si="4"/>
        <v>103.4602</v>
      </c>
      <c r="H109" s="8">
        <f t="shared" si="5"/>
        <v>279.34254000000004</v>
      </c>
    </row>
    <row r="110" spans="1:8" ht="30" customHeight="1" x14ac:dyDescent="0.25">
      <c r="A110" s="2" t="s">
        <v>428</v>
      </c>
      <c r="B110" s="2" t="s">
        <v>376</v>
      </c>
      <c r="C110" s="2" t="s">
        <v>447</v>
      </c>
      <c r="D110" s="2">
        <v>2.7</v>
      </c>
      <c r="E110" s="3">
        <v>213.32</v>
      </c>
      <c r="F110" s="6">
        <f t="shared" si="3"/>
        <v>206.9204</v>
      </c>
      <c r="G110" s="28">
        <f t="shared" si="4"/>
        <v>103.4602</v>
      </c>
      <c r="H110" s="8">
        <f t="shared" si="5"/>
        <v>279.34254000000004</v>
      </c>
    </row>
    <row r="111" spans="1:8" ht="30" customHeight="1" x14ac:dyDescent="0.25">
      <c r="A111" s="4" t="s">
        <v>428</v>
      </c>
      <c r="B111" s="4" t="s">
        <v>376</v>
      </c>
      <c r="C111" s="4" t="s">
        <v>448</v>
      </c>
      <c r="D111" s="4">
        <v>2</v>
      </c>
      <c r="E111" s="5">
        <v>213.32</v>
      </c>
      <c r="F111" s="6">
        <f t="shared" si="3"/>
        <v>206.9204</v>
      </c>
      <c r="G111" s="28">
        <f t="shared" si="4"/>
        <v>103.4602</v>
      </c>
      <c r="H111" s="8">
        <f t="shared" si="5"/>
        <v>279.34254000000004</v>
      </c>
    </row>
    <row r="112" spans="1:8" ht="30" customHeight="1" x14ac:dyDescent="0.25">
      <c r="A112" s="2" t="s">
        <v>428</v>
      </c>
      <c r="B112" s="2" t="s">
        <v>376</v>
      </c>
      <c r="C112" s="2" t="s">
        <v>449</v>
      </c>
      <c r="D112" s="2">
        <v>2</v>
      </c>
      <c r="E112" s="3">
        <v>213.32</v>
      </c>
      <c r="F112" s="6">
        <f t="shared" si="3"/>
        <v>206.9204</v>
      </c>
      <c r="G112" s="28">
        <f t="shared" si="4"/>
        <v>103.4602</v>
      </c>
      <c r="H112" s="8">
        <f t="shared" si="5"/>
        <v>279.34254000000004</v>
      </c>
    </row>
    <row r="113" spans="1:8" ht="30" customHeight="1" x14ac:dyDescent="0.25">
      <c r="A113" s="4" t="s">
        <v>428</v>
      </c>
      <c r="B113" s="4" t="s">
        <v>398</v>
      </c>
      <c r="C113" s="4" t="s">
        <v>450</v>
      </c>
      <c r="D113" s="4">
        <v>2.9</v>
      </c>
      <c r="E113" s="5">
        <v>213.32</v>
      </c>
      <c r="F113" s="6">
        <f t="shared" si="3"/>
        <v>206.9204</v>
      </c>
      <c r="G113" s="28">
        <f t="shared" si="4"/>
        <v>103.4602</v>
      </c>
      <c r="H113" s="8">
        <f t="shared" si="5"/>
        <v>279.34254000000004</v>
      </c>
    </row>
    <row r="114" spans="1:8" ht="30" customHeight="1" x14ac:dyDescent="0.25">
      <c r="A114" s="2" t="s">
        <v>428</v>
      </c>
      <c r="B114" s="2" t="s">
        <v>398</v>
      </c>
      <c r="C114" s="2" t="s">
        <v>451</v>
      </c>
      <c r="D114" s="2">
        <v>2.4</v>
      </c>
      <c r="E114" s="3">
        <v>213.32</v>
      </c>
      <c r="F114" s="6">
        <f t="shared" si="3"/>
        <v>206.9204</v>
      </c>
      <c r="G114" s="28">
        <f t="shared" si="4"/>
        <v>103.4602</v>
      </c>
      <c r="H114" s="8">
        <f t="shared" si="5"/>
        <v>279.34254000000004</v>
      </c>
    </row>
    <row r="115" spans="1:8" ht="30" customHeight="1" x14ac:dyDescent="0.25">
      <c r="A115" s="4" t="s">
        <v>428</v>
      </c>
      <c r="B115" s="4" t="s">
        <v>398</v>
      </c>
      <c r="C115" s="4" t="s">
        <v>452</v>
      </c>
      <c r="D115" s="4"/>
      <c r="E115" s="5">
        <v>213.32</v>
      </c>
      <c r="F115" s="6">
        <f t="shared" si="3"/>
        <v>206.9204</v>
      </c>
      <c r="G115" s="28">
        <f t="shared" si="4"/>
        <v>103.4602</v>
      </c>
      <c r="H115" s="8">
        <f t="shared" si="5"/>
        <v>279.34254000000004</v>
      </c>
    </row>
    <row r="116" spans="1:8" ht="30" customHeight="1" x14ac:dyDescent="0.25">
      <c r="A116" s="2" t="s">
        <v>428</v>
      </c>
      <c r="B116" s="2" t="s">
        <v>398</v>
      </c>
      <c r="C116" s="2" t="s">
        <v>453</v>
      </c>
      <c r="D116" s="2">
        <v>2</v>
      </c>
      <c r="E116" s="3">
        <v>213.32</v>
      </c>
      <c r="F116" s="6">
        <f t="shared" si="3"/>
        <v>206.9204</v>
      </c>
      <c r="G116" s="28">
        <f t="shared" si="4"/>
        <v>103.4602</v>
      </c>
      <c r="H116" s="8">
        <f t="shared" si="5"/>
        <v>279.34254000000004</v>
      </c>
    </row>
    <row r="117" spans="1:8" ht="30" customHeight="1" x14ac:dyDescent="0.25">
      <c r="A117" s="4" t="s">
        <v>454</v>
      </c>
      <c r="B117" s="4" t="s">
        <v>336</v>
      </c>
      <c r="C117" s="4" t="s">
        <v>455</v>
      </c>
      <c r="D117" s="4">
        <v>4.2</v>
      </c>
      <c r="E117" s="5">
        <v>248.87</v>
      </c>
      <c r="F117" s="6">
        <f t="shared" si="3"/>
        <v>241.40389999999999</v>
      </c>
      <c r="G117" s="28">
        <f t="shared" si="4"/>
        <v>120.70195</v>
      </c>
      <c r="H117" s="8">
        <f t="shared" si="5"/>
        <v>325.89526499999999</v>
      </c>
    </row>
    <row r="118" spans="1:8" ht="30" customHeight="1" x14ac:dyDescent="0.25">
      <c r="A118" s="2" t="s">
        <v>454</v>
      </c>
      <c r="B118" s="2" t="s">
        <v>358</v>
      </c>
      <c r="C118" s="2" t="s">
        <v>456</v>
      </c>
      <c r="D118" s="2">
        <v>4.4000000000000004</v>
      </c>
      <c r="E118" s="3">
        <v>248.87</v>
      </c>
      <c r="F118" s="6">
        <f t="shared" si="3"/>
        <v>241.40389999999999</v>
      </c>
      <c r="G118" s="28">
        <f t="shared" si="4"/>
        <v>120.70195</v>
      </c>
      <c r="H118" s="8">
        <f t="shared" si="5"/>
        <v>325.89526499999999</v>
      </c>
    </row>
    <row r="119" spans="1:8" ht="30" customHeight="1" x14ac:dyDescent="0.25">
      <c r="A119" s="4" t="s">
        <v>454</v>
      </c>
      <c r="B119" s="4" t="s">
        <v>358</v>
      </c>
      <c r="C119" s="4" t="s">
        <v>457</v>
      </c>
      <c r="D119" s="4"/>
      <c r="E119" s="5">
        <v>248.87</v>
      </c>
      <c r="F119" s="6">
        <f t="shared" si="3"/>
        <v>241.40389999999999</v>
      </c>
      <c r="G119" s="28">
        <f t="shared" si="4"/>
        <v>120.70195</v>
      </c>
      <c r="H119" s="8">
        <f t="shared" si="5"/>
        <v>325.89526499999999</v>
      </c>
    </row>
    <row r="120" spans="1:8" ht="30" customHeight="1" x14ac:dyDescent="0.25">
      <c r="A120" s="2" t="s">
        <v>454</v>
      </c>
      <c r="B120" s="2" t="s">
        <v>435</v>
      </c>
      <c r="C120" s="2" t="s">
        <v>458</v>
      </c>
      <c r="D120" s="2" t="s">
        <v>18</v>
      </c>
      <c r="E120" s="3">
        <v>248.87</v>
      </c>
      <c r="F120" s="6">
        <f t="shared" si="3"/>
        <v>241.40389999999999</v>
      </c>
      <c r="G120" s="28">
        <f t="shared" si="4"/>
        <v>120.70195</v>
      </c>
      <c r="H120" s="8">
        <f t="shared" si="5"/>
        <v>325.89526499999999</v>
      </c>
    </row>
    <row r="121" spans="1:8" ht="30" customHeight="1" x14ac:dyDescent="0.25">
      <c r="A121" s="4" t="s">
        <v>454</v>
      </c>
      <c r="B121" s="4" t="s">
        <v>306</v>
      </c>
      <c r="C121" s="4" t="s">
        <v>459</v>
      </c>
      <c r="D121" s="4">
        <v>3</v>
      </c>
      <c r="E121" s="5">
        <v>248.87</v>
      </c>
      <c r="F121" s="6">
        <f t="shared" si="3"/>
        <v>241.40389999999999</v>
      </c>
      <c r="G121" s="28">
        <f t="shared" si="4"/>
        <v>120.70195</v>
      </c>
      <c r="H121" s="8">
        <f t="shared" si="5"/>
        <v>325.89526499999999</v>
      </c>
    </row>
    <row r="122" spans="1:8" ht="30" customHeight="1" x14ac:dyDescent="0.25">
      <c r="A122" s="2" t="s">
        <v>454</v>
      </c>
      <c r="B122" s="2" t="s">
        <v>306</v>
      </c>
      <c r="C122" s="2" t="s">
        <v>460</v>
      </c>
      <c r="D122" s="2">
        <v>3</v>
      </c>
      <c r="E122" s="3">
        <v>248.87</v>
      </c>
      <c r="F122" s="6">
        <f t="shared" si="3"/>
        <v>241.40389999999999</v>
      </c>
      <c r="G122" s="28">
        <f t="shared" si="4"/>
        <v>120.70195</v>
      </c>
      <c r="H122" s="8">
        <f t="shared" si="5"/>
        <v>325.89526499999999</v>
      </c>
    </row>
    <row r="123" spans="1:8" ht="30" customHeight="1" x14ac:dyDescent="0.25">
      <c r="A123" s="4" t="s">
        <v>454</v>
      </c>
      <c r="B123" s="4" t="s">
        <v>306</v>
      </c>
      <c r="C123" s="4" t="s">
        <v>461</v>
      </c>
      <c r="D123" s="4">
        <v>5</v>
      </c>
      <c r="E123" s="5">
        <v>248.87</v>
      </c>
      <c r="F123" s="6">
        <f t="shared" si="3"/>
        <v>241.40389999999999</v>
      </c>
      <c r="G123" s="28">
        <f t="shared" si="4"/>
        <v>120.70195</v>
      </c>
      <c r="H123" s="8">
        <f t="shared" si="5"/>
        <v>325.89526499999999</v>
      </c>
    </row>
    <row r="124" spans="1:8" ht="30" customHeight="1" x14ac:dyDescent="0.25">
      <c r="A124" s="2" t="s">
        <v>454</v>
      </c>
      <c r="B124" s="2" t="s">
        <v>393</v>
      </c>
      <c r="C124" s="2" t="s">
        <v>462</v>
      </c>
      <c r="D124" s="2">
        <v>4.5</v>
      </c>
      <c r="E124" s="3">
        <v>248.87</v>
      </c>
      <c r="F124" s="6">
        <f t="shared" si="3"/>
        <v>241.40389999999999</v>
      </c>
      <c r="G124" s="28">
        <f t="shared" si="4"/>
        <v>120.70195</v>
      </c>
      <c r="H124" s="8">
        <f t="shared" si="5"/>
        <v>325.89526499999999</v>
      </c>
    </row>
    <row r="125" spans="1:8" ht="30" customHeight="1" x14ac:dyDescent="0.25">
      <c r="A125" s="4" t="s">
        <v>454</v>
      </c>
      <c r="B125" s="4" t="s">
        <v>393</v>
      </c>
      <c r="C125" s="4" t="s">
        <v>463</v>
      </c>
      <c r="D125" s="4">
        <v>3.6</v>
      </c>
      <c r="E125" s="5">
        <v>248.87</v>
      </c>
      <c r="F125" s="6">
        <f t="shared" si="3"/>
        <v>241.40389999999999</v>
      </c>
      <c r="G125" s="28">
        <f t="shared" si="4"/>
        <v>120.70195</v>
      </c>
      <c r="H125" s="8">
        <f t="shared" si="5"/>
        <v>325.89526499999999</v>
      </c>
    </row>
    <row r="126" spans="1:8" ht="30" customHeight="1" x14ac:dyDescent="0.25">
      <c r="A126" s="2" t="s">
        <v>454</v>
      </c>
      <c r="B126" s="2" t="s">
        <v>376</v>
      </c>
      <c r="C126" s="2" t="s">
        <v>464</v>
      </c>
      <c r="D126" s="2">
        <v>3</v>
      </c>
      <c r="E126" s="3">
        <v>248.87</v>
      </c>
      <c r="F126" s="6">
        <f t="shared" si="3"/>
        <v>241.40389999999999</v>
      </c>
      <c r="G126" s="28">
        <f t="shared" si="4"/>
        <v>120.70195</v>
      </c>
      <c r="H126" s="8">
        <f t="shared" si="5"/>
        <v>325.89526499999999</v>
      </c>
    </row>
    <row r="127" spans="1:8" ht="30" customHeight="1" x14ac:dyDescent="0.25">
      <c r="A127" s="4" t="s">
        <v>454</v>
      </c>
      <c r="B127" s="4" t="s">
        <v>376</v>
      </c>
      <c r="C127" s="4" t="s">
        <v>465</v>
      </c>
      <c r="D127" s="4" t="s">
        <v>18</v>
      </c>
      <c r="E127" s="5">
        <v>248.87</v>
      </c>
      <c r="F127" s="6">
        <f t="shared" si="3"/>
        <v>241.40389999999999</v>
      </c>
      <c r="G127" s="28">
        <f t="shared" si="4"/>
        <v>120.70195</v>
      </c>
      <c r="H127" s="8">
        <f t="shared" si="5"/>
        <v>325.89526499999999</v>
      </c>
    </row>
    <row r="128" spans="1:8" ht="30" customHeight="1" x14ac:dyDescent="0.25">
      <c r="A128" s="2" t="s">
        <v>454</v>
      </c>
      <c r="B128" s="2" t="s">
        <v>376</v>
      </c>
      <c r="C128" s="2" t="s">
        <v>466</v>
      </c>
      <c r="D128" s="2">
        <v>3</v>
      </c>
      <c r="E128" s="3">
        <v>248.87</v>
      </c>
      <c r="F128" s="6">
        <f t="shared" si="3"/>
        <v>241.40389999999999</v>
      </c>
      <c r="G128" s="28">
        <f t="shared" si="4"/>
        <v>120.70195</v>
      </c>
      <c r="H128" s="8">
        <f t="shared" si="5"/>
        <v>325.89526499999999</v>
      </c>
    </row>
    <row r="129" spans="1:8" ht="30" customHeight="1" x14ac:dyDescent="0.25">
      <c r="A129" s="4" t="s">
        <v>454</v>
      </c>
      <c r="B129" s="4" t="s">
        <v>467</v>
      </c>
      <c r="C129" s="4" t="s">
        <v>468</v>
      </c>
      <c r="D129" s="4"/>
      <c r="E129" s="5">
        <v>248.87</v>
      </c>
      <c r="F129" s="6">
        <f t="shared" si="3"/>
        <v>241.40389999999999</v>
      </c>
      <c r="G129" s="28">
        <f t="shared" si="4"/>
        <v>120.70195</v>
      </c>
      <c r="H129" s="8">
        <f t="shared" si="5"/>
        <v>325.89526499999999</v>
      </c>
    </row>
    <row r="130" spans="1:8" ht="30" customHeight="1" x14ac:dyDescent="0.25">
      <c r="A130" s="2" t="s">
        <v>454</v>
      </c>
      <c r="B130" s="2" t="s">
        <v>25</v>
      </c>
      <c r="C130" s="2" t="s">
        <v>469</v>
      </c>
      <c r="D130" s="2">
        <v>4.0999999999999996</v>
      </c>
      <c r="E130" s="3">
        <v>248.87</v>
      </c>
      <c r="F130" s="6">
        <f t="shared" si="3"/>
        <v>241.40389999999999</v>
      </c>
      <c r="G130" s="28">
        <f t="shared" si="4"/>
        <v>120.70195</v>
      </c>
      <c r="H130" s="8">
        <f t="shared" si="5"/>
        <v>325.89526499999999</v>
      </c>
    </row>
    <row r="131" spans="1:8" ht="30" customHeight="1" x14ac:dyDescent="0.25">
      <c r="A131" s="4" t="s">
        <v>470</v>
      </c>
      <c r="B131" s="4" t="s">
        <v>336</v>
      </c>
      <c r="C131" s="4" t="s">
        <v>471</v>
      </c>
      <c r="D131" s="4">
        <v>4</v>
      </c>
      <c r="E131" s="5">
        <v>266.64999999999998</v>
      </c>
      <c r="F131" s="6">
        <f t="shared" ref="F131:F151" si="6">E131*0.97</f>
        <v>258.65049999999997</v>
      </c>
      <c r="G131" s="28">
        <f t="shared" ref="G131:G151" si="7">F131/2</f>
        <v>129.32524999999998</v>
      </c>
      <c r="H131" s="8">
        <f t="shared" ref="H131:H151" si="8">F131*1.35</f>
        <v>349.17817499999995</v>
      </c>
    </row>
    <row r="132" spans="1:8" ht="30" customHeight="1" x14ac:dyDescent="0.25">
      <c r="A132" s="2" t="s">
        <v>470</v>
      </c>
      <c r="B132" s="2" t="s">
        <v>358</v>
      </c>
      <c r="C132" s="2" t="s">
        <v>472</v>
      </c>
      <c r="D132" s="2">
        <v>4.8</v>
      </c>
      <c r="E132" s="3">
        <v>266.64999999999998</v>
      </c>
      <c r="F132" s="6">
        <f t="shared" si="6"/>
        <v>258.65049999999997</v>
      </c>
      <c r="G132" s="28">
        <f t="shared" si="7"/>
        <v>129.32524999999998</v>
      </c>
      <c r="H132" s="8">
        <f t="shared" si="8"/>
        <v>349.17817499999995</v>
      </c>
    </row>
    <row r="133" spans="1:8" ht="30" customHeight="1" x14ac:dyDescent="0.25">
      <c r="A133" s="4" t="s">
        <v>470</v>
      </c>
      <c r="B133" s="4" t="s">
        <v>358</v>
      </c>
      <c r="C133" s="4" t="s">
        <v>473</v>
      </c>
      <c r="D133" s="4">
        <v>4.8</v>
      </c>
      <c r="E133" s="5">
        <v>266.64999999999998</v>
      </c>
      <c r="F133" s="6">
        <f t="shared" si="6"/>
        <v>258.65049999999997</v>
      </c>
      <c r="G133" s="28">
        <f t="shared" si="7"/>
        <v>129.32524999999998</v>
      </c>
      <c r="H133" s="8">
        <f t="shared" si="8"/>
        <v>349.17817499999995</v>
      </c>
    </row>
    <row r="134" spans="1:8" ht="30" customHeight="1" x14ac:dyDescent="0.25">
      <c r="A134" s="2" t="s">
        <v>470</v>
      </c>
      <c r="B134" s="2" t="s">
        <v>358</v>
      </c>
      <c r="C134" s="2" t="s">
        <v>474</v>
      </c>
      <c r="D134" s="2"/>
      <c r="E134" s="3">
        <v>266.64999999999998</v>
      </c>
      <c r="F134" s="6">
        <f t="shared" si="6"/>
        <v>258.65049999999997</v>
      </c>
      <c r="G134" s="28">
        <f t="shared" si="7"/>
        <v>129.32524999999998</v>
      </c>
      <c r="H134" s="8">
        <f t="shared" si="8"/>
        <v>349.17817499999995</v>
      </c>
    </row>
    <row r="135" spans="1:8" ht="30" customHeight="1" x14ac:dyDescent="0.25">
      <c r="A135" s="4" t="s">
        <v>470</v>
      </c>
      <c r="B135" s="4" t="s">
        <v>435</v>
      </c>
      <c r="C135" s="4" t="s">
        <v>475</v>
      </c>
      <c r="D135" s="4" t="s">
        <v>18</v>
      </c>
      <c r="E135" s="5">
        <v>266.64999999999998</v>
      </c>
      <c r="F135" s="6">
        <f t="shared" si="6"/>
        <v>258.65049999999997</v>
      </c>
      <c r="G135" s="28">
        <f t="shared" si="7"/>
        <v>129.32524999999998</v>
      </c>
      <c r="H135" s="8">
        <f t="shared" si="8"/>
        <v>349.17817499999995</v>
      </c>
    </row>
    <row r="136" spans="1:8" ht="30" customHeight="1" x14ac:dyDescent="0.25">
      <c r="A136" s="2" t="s">
        <v>470</v>
      </c>
      <c r="B136" s="2" t="s">
        <v>393</v>
      </c>
      <c r="C136" s="2" t="s">
        <v>476</v>
      </c>
      <c r="D136" s="2">
        <v>4.8</v>
      </c>
      <c r="E136" s="3">
        <v>266.64999999999998</v>
      </c>
      <c r="F136" s="6">
        <f t="shared" si="6"/>
        <v>258.65049999999997</v>
      </c>
      <c r="G136" s="28">
        <f t="shared" si="7"/>
        <v>129.32524999999998</v>
      </c>
      <c r="H136" s="8">
        <f t="shared" si="8"/>
        <v>349.17817499999995</v>
      </c>
    </row>
    <row r="137" spans="1:8" ht="30" customHeight="1" x14ac:dyDescent="0.25">
      <c r="A137" s="4" t="s">
        <v>470</v>
      </c>
      <c r="B137" s="4" t="s">
        <v>376</v>
      </c>
      <c r="C137" s="4" t="s">
        <v>477</v>
      </c>
      <c r="D137" s="4">
        <v>3</v>
      </c>
      <c r="E137" s="5">
        <v>266.64999999999998</v>
      </c>
      <c r="F137" s="6">
        <f t="shared" si="6"/>
        <v>258.65049999999997</v>
      </c>
      <c r="G137" s="28">
        <f t="shared" si="7"/>
        <v>129.32524999999998</v>
      </c>
      <c r="H137" s="8">
        <f t="shared" si="8"/>
        <v>349.17817499999995</v>
      </c>
    </row>
    <row r="138" spans="1:8" ht="30" customHeight="1" x14ac:dyDescent="0.25">
      <c r="A138" s="2" t="s">
        <v>470</v>
      </c>
      <c r="B138" s="2" t="s">
        <v>376</v>
      </c>
      <c r="C138" s="2" t="s">
        <v>478</v>
      </c>
      <c r="D138" s="2" t="s">
        <v>18</v>
      </c>
      <c r="E138" s="3">
        <v>266.64999999999998</v>
      </c>
      <c r="F138" s="6">
        <f t="shared" si="6"/>
        <v>258.65049999999997</v>
      </c>
      <c r="G138" s="28">
        <f t="shared" si="7"/>
        <v>129.32524999999998</v>
      </c>
      <c r="H138" s="8">
        <f t="shared" si="8"/>
        <v>349.17817499999995</v>
      </c>
    </row>
    <row r="139" spans="1:8" ht="30" customHeight="1" x14ac:dyDescent="0.25">
      <c r="A139" s="4" t="s">
        <v>470</v>
      </c>
      <c r="B139" s="4" t="s">
        <v>376</v>
      </c>
      <c r="C139" s="4" t="s">
        <v>479</v>
      </c>
      <c r="D139" s="4">
        <v>4.2</v>
      </c>
      <c r="E139" s="5">
        <v>266.64999999999998</v>
      </c>
      <c r="F139" s="6">
        <f t="shared" si="6"/>
        <v>258.65049999999997</v>
      </c>
      <c r="G139" s="28">
        <f t="shared" si="7"/>
        <v>129.32524999999998</v>
      </c>
      <c r="H139" s="8">
        <f t="shared" si="8"/>
        <v>349.17817499999995</v>
      </c>
    </row>
    <row r="140" spans="1:8" ht="30" customHeight="1" x14ac:dyDescent="0.25">
      <c r="A140" s="2" t="s">
        <v>470</v>
      </c>
      <c r="B140" s="2" t="s">
        <v>376</v>
      </c>
      <c r="C140" s="2" t="s">
        <v>480</v>
      </c>
      <c r="D140" s="2">
        <v>3</v>
      </c>
      <c r="E140" s="3">
        <v>266.64999999999998</v>
      </c>
      <c r="F140" s="6">
        <f t="shared" si="6"/>
        <v>258.65049999999997</v>
      </c>
      <c r="G140" s="28">
        <f t="shared" si="7"/>
        <v>129.32524999999998</v>
      </c>
      <c r="H140" s="8">
        <f t="shared" si="8"/>
        <v>349.17817499999995</v>
      </c>
    </row>
    <row r="141" spans="1:8" ht="30" customHeight="1" x14ac:dyDescent="0.25">
      <c r="A141" s="4" t="s">
        <v>470</v>
      </c>
      <c r="B141" s="4" t="s">
        <v>376</v>
      </c>
      <c r="C141" s="4" t="s">
        <v>481</v>
      </c>
      <c r="D141" s="4">
        <v>4.4000000000000004</v>
      </c>
      <c r="E141" s="5">
        <v>266.64999999999998</v>
      </c>
      <c r="F141" s="6">
        <f t="shared" si="6"/>
        <v>258.65049999999997</v>
      </c>
      <c r="G141" s="28">
        <f t="shared" si="7"/>
        <v>129.32524999999998</v>
      </c>
      <c r="H141" s="8">
        <f t="shared" si="8"/>
        <v>349.17817499999995</v>
      </c>
    </row>
    <row r="142" spans="1:8" ht="30" customHeight="1" x14ac:dyDescent="0.25">
      <c r="A142" s="2" t="s">
        <v>470</v>
      </c>
      <c r="B142" s="2" t="s">
        <v>467</v>
      </c>
      <c r="C142" s="2" t="s">
        <v>482</v>
      </c>
      <c r="D142" s="2"/>
      <c r="E142" s="3">
        <v>266.64999999999998</v>
      </c>
      <c r="F142" s="6">
        <f t="shared" si="6"/>
        <v>258.65049999999997</v>
      </c>
      <c r="G142" s="28">
        <f t="shared" si="7"/>
        <v>129.32524999999998</v>
      </c>
      <c r="H142" s="8">
        <f t="shared" si="8"/>
        <v>349.17817499999995</v>
      </c>
    </row>
    <row r="143" spans="1:8" ht="30" customHeight="1" x14ac:dyDescent="0.25">
      <c r="A143" s="4" t="s">
        <v>470</v>
      </c>
      <c r="B143" s="4" t="s">
        <v>467</v>
      </c>
      <c r="C143" s="4" t="s">
        <v>483</v>
      </c>
      <c r="D143" s="4"/>
      <c r="E143" s="5">
        <v>266.64999999999998</v>
      </c>
      <c r="F143" s="6">
        <f t="shared" si="6"/>
        <v>258.65049999999997</v>
      </c>
      <c r="G143" s="28">
        <f t="shared" si="7"/>
        <v>129.32524999999998</v>
      </c>
      <c r="H143" s="8">
        <f t="shared" si="8"/>
        <v>349.17817499999995</v>
      </c>
    </row>
    <row r="144" spans="1:8" ht="30" customHeight="1" x14ac:dyDescent="0.25">
      <c r="A144" s="2" t="s">
        <v>470</v>
      </c>
      <c r="B144" s="2" t="s">
        <v>25</v>
      </c>
      <c r="C144" s="2" t="s">
        <v>484</v>
      </c>
      <c r="D144" s="2">
        <v>5</v>
      </c>
      <c r="E144" s="3">
        <v>266.64999999999998</v>
      </c>
      <c r="F144" s="6">
        <f t="shared" si="6"/>
        <v>258.65049999999997</v>
      </c>
      <c r="G144" s="28">
        <f t="shared" si="7"/>
        <v>129.32524999999998</v>
      </c>
      <c r="H144" s="8">
        <f t="shared" si="8"/>
        <v>349.17817499999995</v>
      </c>
    </row>
    <row r="145" spans="1:8" ht="30" customHeight="1" x14ac:dyDescent="0.25">
      <c r="A145" s="4" t="s">
        <v>485</v>
      </c>
      <c r="B145" s="4" t="s">
        <v>358</v>
      </c>
      <c r="C145" s="4" t="s">
        <v>486</v>
      </c>
      <c r="D145" s="4"/>
      <c r="E145" s="5">
        <v>325.89999999999998</v>
      </c>
      <c r="F145" s="6">
        <f t="shared" si="6"/>
        <v>316.12299999999999</v>
      </c>
      <c r="G145" s="28">
        <f t="shared" si="7"/>
        <v>158.0615</v>
      </c>
      <c r="H145" s="8">
        <f t="shared" si="8"/>
        <v>426.76605000000001</v>
      </c>
    </row>
    <row r="146" spans="1:8" ht="30" customHeight="1" x14ac:dyDescent="0.25">
      <c r="A146" s="2" t="s">
        <v>485</v>
      </c>
      <c r="B146" s="2" t="s">
        <v>487</v>
      </c>
      <c r="C146" s="2" t="s">
        <v>488</v>
      </c>
      <c r="D146" s="2">
        <v>6.1</v>
      </c>
      <c r="E146" s="3">
        <v>325.89999999999998</v>
      </c>
      <c r="F146" s="6">
        <f t="shared" si="6"/>
        <v>316.12299999999999</v>
      </c>
      <c r="G146" s="28">
        <f t="shared" si="7"/>
        <v>158.0615</v>
      </c>
      <c r="H146" s="8">
        <f t="shared" si="8"/>
        <v>426.76605000000001</v>
      </c>
    </row>
    <row r="147" spans="1:8" ht="30" customHeight="1" x14ac:dyDescent="0.25">
      <c r="A147" s="4" t="s">
        <v>485</v>
      </c>
      <c r="B147" s="4" t="s">
        <v>306</v>
      </c>
      <c r="C147" s="4" t="s">
        <v>489</v>
      </c>
      <c r="D147" s="4" t="s">
        <v>18</v>
      </c>
      <c r="E147" s="5">
        <v>325.89999999999998</v>
      </c>
      <c r="F147" s="6">
        <f t="shared" si="6"/>
        <v>316.12299999999999</v>
      </c>
      <c r="G147" s="28">
        <f t="shared" si="7"/>
        <v>158.0615</v>
      </c>
      <c r="H147" s="8">
        <f t="shared" si="8"/>
        <v>426.76605000000001</v>
      </c>
    </row>
    <row r="148" spans="1:8" ht="30" customHeight="1" x14ac:dyDescent="0.25">
      <c r="A148" s="2" t="s">
        <v>485</v>
      </c>
      <c r="B148" s="2" t="s">
        <v>393</v>
      </c>
      <c r="C148" s="2" t="s">
        <v>490</v>
      </c>
      <c r="D148" s="2">
        <v>4.5</v>
      </c>
      <c r="E148" s="3">
        <v>325.89999999999998</v>
      </c>
      <c r="F148" s="6">
        <f t="shared" si="6"/>
        <v>316.12299999999999</v>
      </c>
      <c r="G148" s="28">
        <f t="shared" si="7"/>
        <v>158.0615</v>
      </c>
      <c r="H148" s="8">
        <f t="shared" si="8"/>
        <v>426.76605000000001</v>
      </c>
    </row>
    <row r="149" spans="1:8" ht="30" customHeight="1" x14ac:dyDescent="0.25">
      <c r="A149" s="4" t="s">
        <v>485</v>
      </c>
      <c r="B149" s="4" t="s">
        <v>376</v>
      </c>
      <c r="C149" s="4" t="s">
        <v>491</v>
      </c>
      <c r="D149" s="4">
        <v>5</v>
      </c>
      <c r="E149" s="5">
        <v>325.89999999999998</v>
      </c>
      <c r="F149" s="6">
        <f t="shared" si="6"/>
        <v>316.12299999999999</v>
      </c>
      <c r="G149" s="28">
        <f t="shared" si="7"/>
        <v>158.0615</v>
      </c>
      <c r="H149" s="8">
        <f t="shared" si="8"/>
        <v>426.76605000000001</v>
      </c>
    </row>
    <row r="150" spans="1:8" ht="30" customHeight="1" x14ac:dyDescent="0.25">
      <c r="A150" s="2" t="s">
        <v>485</v>
      </c>
      <c r="B150" s="2" t="s">
        <v>376</v>
      </c>
      <c r="C150" s="2" t="s">
        <v>492</v>
      </c>
      <c r="D150" s="2">
        <v>4.2</v>
      </c>
      <c r="E150" s="3">
        <v>325.89999999999998</v>
      </c>
      <c r="F150" s="6">
        <f t="shared" si="6"/>
        <v>316.12299999999999</v>
      </c>
      <c r="G150" s="28">
        <f t="shared" si="7"/>
        <v>158.0615</v>
      </c>
      <c r="H150" s="8">
        <f t="shared" si="8"/>
        <v>426.76605000000001</v>
      </c>
    </row>
    <row r="151" spans="1:8" ht="30" customHeight="1" x14ac:dyDescent="0.25">
      <c r="A151" s="4" t="s">
        <v>485</v>
      </c>
      <c r="B151" s="4" t="s">
        <v>467</v>
      </c>
      <c r="C151" s="4" t="s">
        <v>493</v>
      </c>
      <c r="D151" s="4"/>
      <c r="E151" s="5">
        <v>325.89999999999998</v>
      </c>
      <c r="F151" s="6">
        <f t="shared" si="6"/>
        <v>316.12299999999999</v>
      </c>
      <c r="G151" s="28">
        <f t="shared" si="7"/>
        <v>158.0615</v>
      </c>
      <c r="H151" s="8">
        <f t="shared" si="8"/>
        <v>426.76605000000001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55FB-356F-4CF7-A1A2-D3058DC8FFF6}">
  <dimension ref="A1:H200"/>
  <sheetViews>
    <sheetView workbookViewId="0">
      <selection activeCell="N5" sqref="N5"/>
    </sheetView>
  </sheetViews>
  <sheetFormatPr defaultRowHeight="15" x14ac:dyDescent="0.25"/>
  <cols>
    <col min="1" max="1" width="14.28515625" bestFit="1" customWidth="1"/>
    <col min="2" max="2" width="14.140625" hidden="1" customWidth="1"/>
    <col min="3" max="3" width="19.140625" hidden="1" customWidth="1"/>
    <col min="4" max="4" width="7.28515625" hidden="1" customWidth="1"/>
    <col min="5" max="5" width="9.5703125" hidden="1" customWidth="1"/>
    <col min="6" max="6" width="18.28515625" style="21" customWidth="1"/>
    <col min="7" max="7" width="19" style="30" customWidth="1"/>
    <col min="8" max="8" width="17" style="21" customWidth="1"/>
  </cols>
  <sheetData>
    <row r="1" spans="1:8" ht="30.75" customHeight="1" x14ac:dyDescent="0.25">
      <c r="A1" s="15" t="s">
        <v>973</v>
      </c>
      <c r="B1" s="15" t="s">
        <v>0</v>
      </c>
      <c r="C1" s="15" t="s">
        <v>1</v>
      </c>
      <c r="D1" s="15" t="s">
        <v>2</v>
      </c>
      <c r="E1" s="15" t="s">
        <v>3</v>
      </c>
      <c r="F1" s="7" t="s">
        <v>971</v>
      </c>
      <c r="G1" s="26" t="s">
        <v>1004</v>
      </c>
      <c r="H1" s="7" t="s">
        <v>972</v>
      </c>
    </row>
    <row r="2" spans="1:8" ht="25.5" x14ac:dyDescent="0.25">
      <c r="A2" s="16" t="s">
        <v>494</v>
      </c>
      <c r="B2" s="16" t="s">
        <v>72</v>
      </c>
      <c r="C2" s="16" t="s">
        <v>495</v>
      </c>
      <c r="D2" s="16">
        <v>1.6</v>
      </c>
      <c r="E2" s="17">
        <v>81.33</v>
      </c>
      <c r="F2" s="9">
        <f>E2*1.03</f>
        <v>83.769900000000007</v>
      </c>
      <c r="G2" s="27">
        <f>F2/2</f>
        <v>41.884950000000003</v>
      </c>
      <c r="H2" s="9">
        <f>F2*1.35</f>
        <v>113.08936500000002</v>
      </c>
    </row>
    <row r="3" spans="1:8" ht="38.25" x14ac:dyDescent="0.25">
      <c r="A3" s="18" t="s">
        <v>494</v>
      </c>
      <c r="B3" s="18" t="s">
        <v>336</v>
      </c>
      <c r="C3" s="18" t="s">
        <v>496</v>
      </c>
      <c r="D3" s="18">
        <v>1.6</v>
      </c>
      <c r="E3" s="19">
        <v>81.33</v>
      </c>
      <c r="F3" s="9">
        <f t="shared" ref="F3:F66" si="0">E3*1.03</f>
        <v>83.769900000000007</v>
      </c>
      <c r="G3" s="27">
        <f t="shared" ref="G3:G66" si="1">F3/2</f>
        <v>41.884950000000003</v>
      </c>
      <c r="H3" s="9">
        <f t="shared" ref="H3:H66" si="2">F3*1.35</f>
        <v>113.08936500000002</v>
      </c>
    </row>
    <row r="4" spans="1:8" x14ac:dyDescent="0.25">
      <c r="A4" s="16" t="s">
        <v>494</v>
      </c>
      <c r="B4" s="16" t="s">
        <v>336</v>
      </c>
      <c r="C4" s="16" t="s">
        <v>497</v>
      </c>
      <c r="D4" s="16">
        <v>1.6</v>
      </c>
      <c r="E4" s="17">
        <v>81.33</v>
      </c>
      <c r="F4" s="9">
        <f t="shared" si="0"/>
        <v>83.769900000000007</v>
      </c>
      <c r="G4" s="27">
        <f t="shared" si="1"/>
        <v>41.884950000000003</v>
      </c>
      <c r="H4" s="9">
        <f t="shared" si="2"/>
        <v>113.08936500000002</v>
      </c>
    </row>
    <row r="5" spans="1:8" x14ac:dyDescent="0.25">
      <c r="A5" s="18" t="s">
        <v>494</v>
      </c>
      <c r="B5" s="18" t="s">
        <v>336</v>
      </c>
      <c r="C5" s="18" t="s">
        <v>498</v>
      </c>
      <c r="D5" s="18">
        <v>1.6</v>
      </c>
      <c r="E5" s="19">
        <v>81.33</v>
      </c>
      <c r="F5" s="9">
        <f t="shared" si="0"/>
        <v>83.769900000000007</v>
      </c>
      <c r="G5" s="27">
        <f t="shared" si="1"/>
        <v>41.884950000000003</v>
      </c>
      <c r="H5" s="9">
        <f t="shared" si="2"/>
        <v>113.08936500000002</v>
      </c>
    </row>
    <row r="6" spans="1:8" ht="25.5" x14ac:dyDescent="0.25">
      <c r="A6" s="16" t="s">
        <v>494</v>
      </c>
      <c r="B6" s="16" t="s">
        <v>336</v>
      </c>
      <c r="C6" s="16" t="s">
        <v>499</v>
      </c>
      <c r="D6" s="16">
        <v>1.2</v>
      </c>
      <c r="E6" s="17">
        <v>81.33</v>
      </c>
      <c r="F6" s="9">
        <f t="shared" si="0"/>
        <v>83.769900000000007</v>
      </c>
      <c r="G6" s="27">
        <f t="shared" si="1"/>
        <v>41.884950000000003</v>
      </c>
      <c r="H6" s="9">
        <f t="shared" si="2"/>
        <v>113.08936500000002</v>
      </c>
    </row>
    <row r="7" spans="1:8" ht="25.5" x14ac:dyDescent="0.25">
      <c r="A7" s="18" t="s">
        <v>494</v>
      </c>
      <c r="B7" s="18" t="s">
        <v>336</v>
      </c>
      <c r="C7" s="18" t="s">
        <v>500</v>
      </c>
      <c r="D7" s="18">
        <v>1.4</v>
      </c>
      <c r="E7" s="19">
        <v>81.33</v>
      </c>
      <c r="F7" s="9">
        <f t="shared" si="0"/>
        <v>83.769900000000007</v>
      </c>
      <c r="G7" s="27">
        <f t="shared" si="1"/>
        <v>41.884950000000003</v>
      </c>
      <c r="H7" s="9">
        <f t="shared" si="2"/>
        <v>113.08936500000002</v>
      </c>
    </row>
    <row r="8" spans="1:8" ht="25.5" x14ac:dyDescent="0.25">
      <c r="A8" s="16" t="s">
        <v>494</v>
      </c>
      <c r="B8" s="16" t="s">
        <v>336</v>
      </c>
      <c r="C8" s="16" t="s">
        <v>501</v>
      </c>
      <c r="D8" s="16">
        <v>1.6</v>
      </c>
      <c r="E8" s="17">
        <v>81.33</v>
      </c>
      <c r="F8" s="9">
        <f t="shared" si="0"/>
        <v>83.769900000000007</v>
      </c>
      <c r="G8" s="27">
        <f t="shared" si="1"/>
        <v>41.884950000000003</v>
      </c>
      <c r="H8" s="9">
        <f t="shared" si="2"/>
        <v>113.08936500000002</v>
      </c>
    </row>
    <row r="9" spans="1:8" ht="25.5" x14ac:dyDescent="0.25">
      <c r="A9" s="18" t="s">
        <v>494</v>
      </c>
      <c r="B9" s="18" t="s">
        <v>336</v>
      </c>
      <c r="C9" s="18" t="s">
        <v>502</v>
      </c>
      <c r="D9" s="18">
        <v>1.2</v>
      </c>
      <c r="E9" s="19">
        <v>81.33</v>
      </c>
      <c r="F9" s="9">
        <f t="shared" si="0"/>
        <v>83.769900000000007</v>
      </c>
      <c r="G9" s="27">
        <f t="shared" si="1"/>
        <v>41.884950000000003</v>
      </c>
      <c r="H9" s="9">
        <f t="shared" si="2"/>
        <v>113.08936500000002</v>
      </c>
    </row>
    <row r="10" spans="1:8" ht="38.25" x14ac:dyDescent="0.25">
      <c r="A10" s="16" t="s">
        <v>494</v>
      </c>
      <c r="B10" s="16" t="s">
        <v>336</v>
      </c>
      <c r="C10" s="16" t="s">
        <v>503</v>
      </c>
      <c r="D10" s="16"/>
      <c r="E10" s="17">
        <v>81.33</v>
      </c>
      <c r="F10" s="9">
        <f t="shared" si="0"/>
        <v>83.769900000000007</v>
      </c>
      <c r="G10" s="27">
        <f t="shared" si="1"/>
        <v>41.884950000000003</v>
      </c>
      <c r="H10" s="9">
        <f t="shared" si="2"/>
        <v>113.08936500000002</v>
      </c>
    </row>
    <row r="11" spans="1:8" x14ac:dyDescent="0.25">
      <c r="A11" s="18" t="s">
        <v>494</v>
      </c>
      <c r="B11" s="18" t="s">
        <v>358</v>
      </c>
      <c r="C11" s="18" t="s">
        <v>504</v>
      </c>
      <c r="D11" s="18">
        <v>1.6</v>
      </c>
      <c r="E11" s="19">
        <v>81.33</v>
      </c>
      <c r="F11" s="9">
        <f t="shared" si="0"/>
        <v>83.769900000000007</v>
      </c>
      <c r="G11" s="27">
        <f t="shared" si="1"/>
        <v>41.884950000000003</v>
      </c>
      <c r="H11" s="9">
        <f t="shared" si="2"/>
        <v>113.08936500000002</v>
      </c>
    </row>
    <row r="12" spans="1:8" ht="25.5" x14ac:dyDescent="0.25">
      <c r="A12" s="16" t="s">
        <v>494</v>
      </c>
      <c r="B12" s="16" t="s">
        <v>358</v>
      </c>
      <c r="C12" s="16" t="s">
        <v>505</v>
      </c>
      <c r="D12" s="16">
        <v>2</v>
      </c>
      <c r="E12" s="17">
        <v>81.33</v>
      </c>
      <c r="F12" s="9">
        <f t="shared" si="0"/>
        <v>83.769900000000007</v>
      </c>
      <c r="G12" s="27">
        <f t="shared" si="1"/>
        <v>41.884950000000003</v>
      </c>
      <c r="H12" s="9">
        <f t="shared" si="2"/>
        <v>113.08936500000002</v>
      </c>
    </row>
    <row r="13" spans="1:8" x14ac:dyDescent="0.25">
      <c r="A13" s="18" t="s">
        <v>494</v>
      </c>
      <c r="B13" s="18" t="s">
        <v>358</v>
      </c>
      <c r="C13" s="18" t="s">
        <v>506</v>
      </c>
      <c r="D13" s="18">
        <v>2</v>
      </c>
      <c r="E13" s="19">
        <v>81.33</v>
      </c>
      <c r="F13" s="9">
        <f t="shared" si="0"/>
        <v>83.769900000000007</v>
      </c>
      <c r="G13" s="27">
        <f t="shared" si="1"/>
        <v>41.884950000000003</v>
      </c>
      <c r="H13" s="9">
        <f t="shared" si="2"/>
        <v>113.08936500000002</v>
      </c>
    </row>
    <row r="14" spans="1:8" ht="25.5" x14ac:dyDescent="0.25">
      <c r="A14" s="16" t="s">
        <v>494</v>
      </c>
      <c r="B14" s="16" t="s">
        <v>306</v>
      </c>
      <c r="C14" s="16" t="s">
        <v>507</v>
      </c>
      <c r="D14" s="16">
        <v>1.4</v>
      </c>
      <c r="E14" s="17">
        <v>81.33</v>
      </c>
      <c r="F14" s="9">
        <f t="shared" si="0"/>
        <v>83.769900000000007</v>
      </c>
      <c r="G14" s="27">
        <f t="shared" si="1"/>
        <v>41.884950000000003</v>
      </c>
      <c r="H14" s="9">
        <f t="shared" si="2"/>
        <v>113.08936500000002</v>
      </c>
    </row>
    <row r="15" spans="1:8" ht="25.5" x14ac:dyDescent="0.25">
      <c r="A15" s="18" t="s">
        <v>494</v>
      </c>
      <c r="B15" s="18" t="s">
        <v>306</v>
      </c>
      <c r="C15" s="18" t="s">
        <v>508</v>
      </c>
      <c r="D15" s="18">
        <v>1.5</v>
      </c>
      <c r="E15" s="19">
        <v>81.33</v>
      </c>
      <c r="F15" s="9">
        <f t="shared" si="0"/>
        <v>83.769900000000007</v>
      </c>
      <c r="G15" s="27">
        <f t="shared" si="1"/>
        <v>41.884950000000003</v>
      </c>
      <c r="H15" s="9">
        <f t="shared" si="2"/>
        <v>113.08936500000002</v>
      </c>
    </row>
    <row r="16" spans="1:8" x14ac:dyDescent="0.25">
      <c r="A16" s="16" t="s">
        <v>509</v>
      </c>
      <c r="B16" s="16" t="s">
        <v>72</v>
      </c>
      <c r="C16" s="16" t="s">
        <v>510</v>
      </c>
      <c r="D16" s="16">
        <v>2</v>
      </c>
      <c r="E16" s="17">
        <v>97.43</v>
      </c>
      <c r="F16" s="9">
        <f t="shared" si="0"/>
        <v>100.35290000000001</v>
      </c>
      <c r="G16" s="27">
        <f t="shared" si="1"/>
        <v>50.176450000000003</v>
      </c>
      <c r="H16" s="9">
        <f t="shared" si="2"/>
        <v>135.476415</v>
      </c>
    </row>
    <row r="17" spans="1:8" x14ac:dyDescent="0.25">
      <c r="A17" s="18" t="s">
        <v>509</v>
      </c>
      <c r="B17" s="18" t="s">
        <v>336</v>
      </c>
      <c r="C17" s="18" t="s">
        <v>511</v>
      </c>
      <c r="D17" s="18">
        <v>1.8</v>
      </c>
      <c r="E17" s="19">
        <v>97.43</v>
      </c>
      <c r="F17" s="9">
        <f t="shared" si="0"/>
        <v>100.35290000000001</v>
      </c>
      <c r="G17" s="27">
        <f t="shared" si="1"/>
        <v>50.176450000000003</v>
      </c>
      <c r="H17" s="9">
        <f t="shared" si="2"/>
        <v>135.476415</v>
      </c>
    </row>
    <row r="18" spans="1:8" ht="25.5" x14ac:dyDescent="0.25">
      <c r="A18" s="16" t="s">
        <v>509</v>
      </c>
      <c r="B18" s="16" t="s">
        <v>336</v>
      </c>
      <c r="C18" s="16" t="s">
        <v>512</v>
      </c>
      <c r="D18" s="16">
        <v>1.8</v>
      </c>
      <c r="E18" s="17">
        <v>97.43</v>
      </c>
      <c r="F18" s="9">
        <f t="shared" si="0"/>
        <v>100.35290000000001</v>
      </c>
      <c r="G18" s="27">
        <f t="shared" si="1"/>
        <v>50.176450000000003</v>
      </c>
      <c r="H18" s="9">
        <f t="shared" si="2"/>
        <v>135.476415</v>
      </c>
    </row>
    <row r="19" spans="1:8" ht="25.5" x14ac:dyDescent="0.25">
      <c r="A19" s="18" t="s">
        <v>509</v>
      </c>
      <c r="B19" s="18" t="s">
        <v>336</v>
      </c>
      <c r="C19" s="18" t="s">
        <v>513</v>
      </c>
      <c r="D19" s="18">
        <v>1.8</v>
      </c>
      <c r="E19" s="19">
        <v>97.43</v>
      </c>
      <c r="F19" s="9">
        <f t="shared" si="0"/>
        <v>100.35290000000001</v>
      </c>
      <c r="G19" s="27">
        <f t="shared" si="1"/>
        <v>50.176450000000003</v>
      </c>
      <c r="H19" s="9">
        <f t="shared" si="2"/>
        <v>135.476415</v>
      </c>
    </row>
    <row r="20" spans="1:8" ht="25.5" x14ac:dyDescent="0.25">
      <c r="A20" s="16" t="s">
        <v>509</v>
      </c>
      <c r="B20" s="16" t="s">
        <v>336</v>
      </c>
      <c r="C20" s="16" t="s">
        <v>514</v>
      </c>
      <c r="D20" s="16">
        <v>1</v>
      </c>
      <c r="E20" s="17">
        <v>97.43</v>
      </c>
      <c r="F20" s="9">
        <f t="shared" si="0"/>
        <v>100.35290000000001</v>
      </c>
      <c r="G20" s="27">
        <f t="shared" si="1"/>
        <v>50.176450000000003</v>
      </c>
      <c r="H20" s="9">
        <f t="shared" si="2"/>
        <v>135.476415</v>
      </c>
    </row>
    <row r="21" spans="1:8" x14ac:dyDescent="0.25">
      <c r="A21" s="18" t="s">
        <v>509</v>
      </c>
      <c r="B21" s="18" t="s">
        <v>358</v>
      </c>
      <c r="C21" s="18" t="s">
        <v>515</v>
      </c>
      <c r="D21" s="18">
        <v>1.8</v>
      </c>
      <c r="E21" s="19">
        <v>97.43</v>
      </c>
      <c r="F21" s="9">
        <f t="shared" si="0"/>
        <v>100.35290000000001</v>
      </c>
      <c r="G21" s="27">
        <f t="shared" si="1"/>
        <v>50.176450000000003</v>
      </c>
      <c r="H21" s="9">
        <f t="shared" si="2"/>
        <v>135.476415</v>
      </c>
    </row>
    <row r="22" spans="1:8" x14ac:dyDescent="0.25">
      <c r="A22" s="16" t="s">
        <v>509</v>
      </c>
      <c r="B22" s="16" t="s">
        <v>306</v>
      </c>
      <c r="C22" s="16" t="s">
        <v>516</v>
      </c>
      <c r="D22" s="16" t="s">
        <v>18</v>
      </c>
      <c r="E22" s="17">
        <v>97.43</v>
      </c>
      <c r="F22" s="9">
        <f t="shared" si="0"/>
        <v>100.35290000000001</v>
      </c>
      <c r="G22" s="27">
        <f t="shared" si="1"/>
        <v>50.176450000000003</v>
      </c>
      <c r="H22" s="9">
        <f t="shared" si="2"/>
        <v>135.476415</v>
      </c>
    </row>
    <row r="23" spans="1:8" ht="25.5" x14ac:dyDescent="0.25">
      <c r="A23" s="18" t="s">
        <v>509</v>
      </c>
      <c r="B23" s="18" t="s">
        <v>306</v>
      </c>
      <c r="C23" s="18" t="s">
        <v>517</v>
      </c>
      <c r="D23" s="18">
        <v>1.7</v>
      </c>
      <c r="E23" s="19">
        <v>97.43</v>
      </c>
      <c r="F23" s="9">
        <f t="shared" si="0"/>
        <v>100.35290000000001</v>
      </c>
      <c r="G23" s="27">
        <f t="shared" si="1"/>
        <v>50.176450000000003</v>
      </c>
      <c r="H23" s="9">
        <f t="shared" si="2"/>
        <v>135.476415</v>
      </c>
    </row>
    <row r="24" spans="1:8" ht="25.5" x14ac:dyDescent="0.25">
      <c r="A24" s="16" t="s">
        <v>509</v>
      </c>
      <c r="B24" s="16" t="s">
        <v>306</v>
      </c>
      <c r="C24" s="16" t="s">
        <v>518</v>
      </c>
      <c r="D24" s="16">
        <v>1.5</v>
      </c>
      <c r="E24" s="17">
        <v>97.43</v>
      </c>
      <c r="F24" s="9">
        <f t="shared" si="0"/>
        <v>100.35290000000001</v>
      </c>
      <c r="G24" s="27">
        <f t="shared" si="1"/>
        <v>50.176450000000003</v>
      </c>
      <c r="H24" s="9">
        <f t="shared" si="2"/>
        <v>135.476415</v>
      </c>
    </row>
    <row r="25" spans="1:8" x14ac:dyDescent="0.25">
      <c r="A25" s="18" t="s">
        <v>509</v>
      </c>
      <c r="B25" s="18" t="s">
        <v>306</v>
      </c>
      <c r="C25" s="18" t="s">
        <v>519</v>
      </c>
      <c r="D25" s="18" t="s">
        <v>18</v>
      </c>
      <c r="E25" s="19">
        <v>97.43</v>
      </c>
      <c r="F25" s="9">
        <f t="shared" si="0"/>
        <v>100.35290000000001</v>
      </c>
      <c r="G25" s="27">
        <f t="shared" si="1"/>
        <v>50.176450000000003</v>
      </c>
      <c r="H25" s="9">
        <f t="shared" si="2"/>
        <v>135.476415</v>
      </c>
    </row>
    <row r="26" spans="1:8" x14ac:dyDescent="0.25">
      <c r="A26" s="16" t="s">
        <v>509</v>
      </c>
      <c r="B26" s="16" t="s">
        <v>398</v>
      </c>
      <c r="C26" s="16" t="s">
        <v>520</v>
      </c>
      <c r="D26" s="16">
        <v>1.6</v>
      </c>
      <c r="E26" s="17">
        <v>97.43</v>
      </c>
      <c r="F26" s="9">
        <f t="shared" si="0"/>
        <v>100.35290000000001</v>
      </c>
      <c r="G26" s="27">
        <f t="shared" si="1"/>
        <v>50.176450000000003</v>
      </c>
      <c r="H26" s="9">
        <f t="shared" si="2"/>
        <v>135.476415</v>
      </c>
    </row>
    <row r="27" spans="1:8" x14ac:dyDescent="0.25">
      <c r="A27" s="18" t="s">
        <v>509</v>
      </c>
      <c r="B27" s="18" t="s">
        <v>398</v>
      </c>
      <c r="C27" s="18" t="s">
        <v>521</v>
      </c>
      <c r="D27" s="18">
        <v>1.6</v>
      </c>
      <c r="E27" s="19">
        <v>97.43</v>
      </c>
      <c r="F27" s="9">
        <f t="shared" si="0"/>
        <v>100.35290000000001</v>
      </c>
      <c r="G27" s="27">
        <f t="shared" si="1"/>
        <v>50.176450000000003</v>
      </c>
      <c r="H27" s="9">
        <f t="shared" si="2"/>
        <v>135.476415</v>
      </c>
    </row>
    <row r="28" spans="1:8" x14ac:dyDescent="0.25">
      <c r="A28" s="16" t="s">
        <v>522</v>
      </c>
      <c r="B28" s="16" t="s">
        <v>72</v>
      </c>
      <c r="C28" s="16" t="s">
        <v>523</v>
      </c>
      <c r="D28" s="16">
        <v>2.4</v>
      </c>
      <c r="E28" s="17">
        <v>103.66</v>
      </c>
      <c r="F28" s="9">
        <f t="shared" si="0"/>
        <v>106.7698</v>
      </c>
      <c r="G28" s="27">
        <f t="shared" si="1"/>
        <v>53.384900000000002</v>
      </c>
      <c r="H28" s="9">
        <f t="shared" si="2"/>
        <v>144.13923000000003</v>
      </c>
    </row>
    <row r="29" spans="1:8" ht="25.5" x14ac:dyDescent="0.25">
      <c r="A29" s="18" t="s">
        <v>522</v>
      </c>
      <c r="B29" s="18" t="s">
        <v>336</v>
      </c>
      <c r="C29" s="18" t="s">
        <v>524</v>
      </c>
      <c r="D29" s="18">
        <v>1.9</v>
      </c>
      <c r="E29" s="19">
        <v>103.66</v>
      </c>
      <c r="F29" s="9">
        <f t="shared" si="0"/>
        <v>106.7698</v>
      </c>
      <c r="G29" s="27">
        <f t="shared" si="1"/>
        <v>53.384900000000002</v>
      </c>
      <c r="H29" s="9">
        <f t="shared" si="2"/>
        <v>144.13923000000003</v>
      </c>
    </row>
    <row r="30" spans="1:8" x14ac:dyDescent="0.25">
      <c r="A30" s="16" t="s">
        <v>522</v>
      </c>
      <c r="B30" s="16" t="s">
        <v>336</v>
      </c>
      <c r="C30" s="16" t="s">
        <v>525</v>
      </c>
      <c r="D30" s="16">
        <v>1.9</v>
      </c>
      <c r="E30" s="17">
        <v>103.66</v>
      </c>
      <c r="F30" s="9">
        <f t="shared" si="0"/>
        <v>106.7698</v>
      </c>
      <c r="G30" s="27">
        <f t="shared" si="1"/>
        <v>53.384900000000002</v>
      </c>
      <c r="H30" s="9">
        <f t="shared" si="2"/>
        <v>144.13923000000003</v>
      </c>
    </row>
    <row r="31" spans="1:8" ht="25.5" x14ac:dyDescent="0.25">
      <c r="A31" s="18" t="s">
        <v>522</v>
      </c>
      <c r="B31" s="18" t="s">
        <v>336</v>
      </c>
      <c r="C31" s="18" t="s">
        <v>526</v>
      </c>
      <c r="D31" s="18">
        <v>2</v>
      </c>
      <c r="E31" s="19">
        <v>103.66</v>
      </c>
      <c r="F31" s="9">
        <f t="shared" si="0"/>
        <v>106.7698</v>
      </c>
      <c r="G31" s="27">
        <f t="shared" si="1"/>
        <v>53.384900000000002</v>
      </c>
      <c r="H31" s="9">
        <f t="shared" si="2"/>
        <v>144.13923000000003</v>
      </c>
    </row>
    <row r="32" spans="1:8" x14ac:dyDescent="0.25">
      <c r="A32" s="16" t="s">
        <v>522</v>
      </c>
      <c r="B32" s="16" t="s">
        <v>336</v>
      </c>
      <c r="C32" s="16" t="s">
        <v>527</v>
      </c>
      <c r="D32" s="16">
        <v>1.6</v>
      </c>
      <c r="E32" s="17">
        <v>103.66</v>
      </c>
      <c r="F32" s="9">
        <f t="shared" si="0"/>
        <v>106.7698</v>
      </c>
      <c r="G32" s="27">
        <f t="shared" si="1"/>
        <v>53.384900000000002</v>
      </c>
      <c r="H32" s="9">
        <f t="shared" si="2"/>
        <v>144.13923000000003</v>
      </c>
    </row>
    <row r="33" spans="1:8" x14ac:dyDescent="0.25">
      <c r="A33" s="18" t="s">
        <v>522</v>
      </c>
      <c r="B33" s="18" t="s">
        <v>336</v>
      </c>
      <c r="C33" s="18" t="s">
        <v>528</v>
      </c>
      <c r="D33" s="18">
        <v>1.8</v>
      </c>
      <c r="E33" s="19">
        <v>103.66</v>
      </c>
      <c r="F33" s="9">
        <f t="shared" si="0"/>
        <v>106.7698</v>
      </c>
      <c r="G33" s="27">
        <f t="shared" si="1"/>
        <v>53.384900000000002</v>
      </c>
      <c r="H33" s="9">
        <f t="shared" si="2"/>
        <v>144.13923000000003</v>
      </c>
    </row>
    <row r="34" spans="1:8" x14ac:dyDescent="0.25">
      <c r="A34" s="16" t="s">
        <v>522</v>
      </c>
      <c r="B34" s="16" t="s">
        <v>336</v>
      </c>
      <c r="C34" s="16" t="s">
        <v>529</v>
      </c>
      <c r="D34" s="16">
        <v>1.8</v>
      </c>
      <c r="E34" s="17">
        <v>103.66</v>
      </c>
      <c r="F34" s="9">
        <f t="shared" si="0"/>
        <v>106.7698</v>
      </c>
      <c r="G34" s="27">
        <f t="shared" si="1"/>
        <v>53.384900000000002</v>
      </c>
      <c r="H34" s="9">
        <f t="shared" si="2"/>
        <v>144.13923000000003</v>
      </c>
    </row>
    <row r="35" spans="1:8" ht="25.5" x14ac:dyDescent="0.25">
      <c r="A35" s="18" t="s">
        <v>522</v>
      </c>
      <c r="B35" s="18" t="s">
        <v>336</v>
      </c>
      <c r="C35" s="18" t="s">
        <v>530</v>
      </c>
      <c r="D35" s="18">
        <v>1.5</v>
      </c>
      <c r="E35" s="19">
        <v>103.66</v>
      </c>
      <c r="F35" s="9">
        <f t="shared" si="0"/>
        <v>106.7698</v>
      </c>
      <c r="G35" s="27">
        <f t="shared" si="1"/>
        <v>53.384900000000002</v>
      </c>
      <c r="H35" s="9">
        <f t="shared" si="2"/>
        <v>144.13923000000003</v>
      </c>
    </row>
    <row r="36" spans="1:8" ht="38.25" x14ac:dyDescent="0.25">
      <c r="A36" s="16" t="s">
        <v>522</v>
      </c>
      <c r="B36" s="16" t="s">
        <v>336</v>
      </c>
      <c r="C36" s="16" t="s">
        <v>531</v>
      </c>
      <c r="D36" s="16">
        <v>1.4</v>
      </c>
      <c r="E36" s="17">
        <v>103.66</v>
      </c>
      <c r="F36" s="9">
        <f t="shared" si="0"/>
        <v>106.7698</v>
      </c>
      <c r="G36" s="27">
        <f t="shared" si="1"/>
        <v>53.384900000000002</v>
      </c>
      <c r="H36" s="9">
        <f t="shared" si="2"/>
        <v>144.13923000000003</v>
      </c>
    </row>
    <row r="37" spans="1:8" ht="51" x14ac:dyDescent="0.25">
      <c r="A37" s="18" t="s">
        <v>522</v>
      </c>
      <c r="B37" s="18" t="s">
        <v>358</v>
      </c>
      <c r="C37" s="18" t="s">
        <v>532</v>
      </c>
      <c r="D37" s="18" t="s">
        <v>533</v>
      </c>
      <c r="E37" s="19">
        <v>103.66</v>
      </c>
      <c r="F37" s="9">
        <f t="shared" si="0"/>
        <v>106.7698</v>
      </c>
      <c r="G37" s="27">
        <f t="shared" si="1"/>
        <v>53.384900000000002</v>
      </c>
      <c r="H37" s="9">
        <f t="shared" si="2"/>
        <v>144.13923000000003</v>
      </c>
    </row>
    <row r="38" spans="1:8" ht="38.25" x14ac:dyDescent="0.25">
      <c r="A38" s="16" t="s">
        <v>522</v>
      </c>
      <c r="B38" s="16" t="s">
        <v>358</v>
      </c>
      <c r="C38" s="16" t="s">
        <v>534</v>
      </c>
      <c r="D38" s="16">
        <v>2</v>
      </c>
      <c r="E38" s="17">
        <v>103.66</v>
      </c>
      <c r="F38" s="9">
        <f t="shared" si="0"/>
        <v>106.7698</v>
      </c>
      <c r="G38" s="27">
        <f t="shared" si="1"/>
        <v>53.384900000000002</v>
      </c>
      <c r="H38" s="9">
        <f t="shared" si="2"/>
        <v>144.13923000000003</v>
      </c>
    </row>
    <row r="39" spans="1:8" x14ac:dyDescent="0.25">
      <c r="A39" s="18" t="s">
        <v>522</v>
      </c>
      <c r="B39" s="18" t="s">
        <v>358</v>
      </c>
      <c r="C39" s="18" t="s">
        <v>535</v>
      </c>
      <c r="D39" s="18">
        <v>2</v>
      </c>
      <c r="E39" s="19">
        <v>103.66</v>
      </c>
      <c r="F39" s="9">
        <f t="shared" si="0"/>
        <v>106.7698</v>
      </c>
      <c r="G39" s="27">
        <f t="shared" si="1"/>
        <v>53.384900000000002</v>
      </c>
      <c r="H39" s="9">
        <f t="shared" si="2"/>
        <v>144.13923000000003</v>
      </c>
    </row>
    <row r="40" spans="1:8" x14ac:dyDescent="0.25">
      <c r="A40" s="16" t="s">
        <v>522</v>
      </c>
      <c r="B40" s="16" t="s">
        <v>358</v>
      </c>
      <c r="C40" s="16" t="s">
        <v>536</v>
      </c>
      <c r="D40" s="16">
        <v>1.8</v>
      </c>
      <c r="E40" s="17">
        <v>103.66</v>
      </c>
      <c r="F40" s="9">
        <f t="shared" si="0"/>
        <v>106.7698</v>
      </c>
      <c r="G40" s="27">
        <f t="shared" si="1"/>
        <v>53.384900000000002</v>
      </c>
      <c r="H40" s="9">
        <f t="shared" si="2"/>
        <v>144.13923000000003</v>
      </c>
    </row>
    <row r="41" spans="1:8" ht="25.5" x14ac:dyDescent="0.25">
      <c r="A41" s="18" t="s">
        <v>522</v>
      </c>
      <c r="B41" s="18" t="s">
        <v>5</v>
      </c>
      <c r="C41" s="18" t="s">
        <v>537</v>
      </c>
      <c r="D41" s="18">
        <v>2</v>
      </c>
      <c r="E41" s="19">
        <v>103.66</v>
      </c>
      <c r="F41" s="9">
        <f t="shared" si="0"/>
        <v>106.7698</v>
      </c>
      <c r="G41" s="27">
        <f t="shared" si="1"/>
        <v>53.384900000000002</v>
      </c>
      <c r="H41" s="9">
        <f t="shared" si="2"/>
        <v>144.13923000000003</v>
      </c>
    </row>
    <row r="42" spans="1:8" ht="25.5" x14ac:dyDescent="0.25">
      <c r="A42" s="16" t="s">
        <v>522</v>
      </c>
      <c r="B42" s="16" t="s">
        <v>306</v>
      </c>
      <c r="C42" s="16" t="s">
        <v>538</v>
      </c>
      <c r="D42" s="16">
        <v>2</v>
      </c>
      <c r="E42" s="17">
        <v>103.66</v>
      </c>
      <c r="F42" s="9">
        <f t="shared" si="0"/>
        <v>106.7698</v>
      </c>
      <c r="G42" s="27">
        <f t="shared" si="1"/>
        <v>53.384900000000002</v>
      </c>
      <c r="H42" s="9">
        <f t="shared" si="2"/>
        <v>144.13923000000003</v>
      </c>
    </row>
    <row r="43" spans="1:8" ht="25.5" x14ac:dyDescent="0.25">
      <c r="A43" s="18" t="s">
        <v>522</v>
      </c>
      <c r="B43" s="18" t="s">
        <v>306</v>
      </c>
      <c r="C43" s="18" t="s">
        <v>539</v>
      </c>
      <c r="D43" s="18">
        <v>1.8</v>
      </c>
      <c r="E43" s="19">
        <v>103.66</v>
      </c>
      <c r="F43" s="9">
        <f t="shared" si="0"/>
        <v>106.7698</v>
      </c>
      <c r="G43" s="27">
        <f t="shared" si="1"/>
        <v>53.384900000000002</v>
      </c>
      <c r="H43" s="9">
        <f t="shared" si="2"/>
        <v>144.13923000000003</v>
      </c>
    </row>
    <row r="44" spans="1:8" ht="25.5" x14ac:dyDescent="0.25">
      <c r="A44" s="16" t="s">
        <v>522</v>
      </c>
      <c r="B44" s="16" t="s">
        <v>306</v>
      </c>
      <c r="C44" s="16" t="s">
        <v>540</v>
      </c>
      <c r="D44" s="16">
        <v>1.5</v>
      </c>
      <c r="E44" s="17">
        <v>103.66</v>
      </c>
      <c r="F44" s="9">
        <f t="shared" si="0"/>
        <v>106.7698</v>
      </c>
      <c r="G44" s="27">
        <f t="shared" si="1"/>
        <v>53.384900000000002</v>
      </c>
      <c r="H44" s="9">
        <f t="shared" si="2"/>
        <v>144.13923000000003</v>
      </c>
    </row>
    <row r="45" spans="1:8" ht="38.25" x14ac:dyDescent="0.25">
      <c r="A45" s="18" t="s">
        <v>522</v>
      </c>
      <c r="B45" s="18" t="s">
        <v>306</v>
      </c>
      <c r="C45" s="18" t="s">
        <v>541</v>
      </c>
      <c r="D45" s="18">
        <v>1.6</v>
      </c>
      <c r="E45" s="19">
        <v>103.66</v>
      </c>
      <c r="F45" s="9">
        <f t="shared" si="0"/>
        <v>106.7698</v>
      </c>
      <c r="G45" s="27">
        <f t="shared" si="1"/>
        <v>53.384900000000002</v>
      </c>
      <c r="H45" s="9">
        <f t="shared" si="2"/>
        <v>144.13923000000003</v>
      </c>
    </row>
    <row r="46" spans="1:8" ht="25.5" x14ac:dyDescent="0.25">
      <c r="A46" s="16" t="s">
        <v>522</v>
      </c>
      <c r="B46" s="16" t="s">
        <v>306</v>
      </c>
      <c r="C46" s="16" t="s">
        <v>542</v>
      </c>
      <c r="D46" s="16">
        <v>1.8</v>
      </c>
      <c r="E46" s="17">
        <v>103.66</v>
      </c>
      <c r="F46" s="9">
        <f t="shared" si="0"/>
        <v>106.7698</v>
      </c>
      <c r="G46" s="27">
        <f t="shared" si="1"/>
        <v>53.384900000000002</v>
      </c>
      <c r="H46" s="9">
        <f t="shared" si="2"/>
        <v>144.13923000000003</v>
      </c>
    </row>
    <row r="47" spans="1:8" ht="51" x14ac:dyDescent="0.25">
      <c r="A47" s="18" t="s">
        <v>522</v>
      </c>
      <c r="B47" s="18" t="s">
        <v>306</v>
      </c>
      <c r="C47" s="18" t="s">
        <v>543</v>
      </c>
      <c r="D47" s="18">
        <v>2</v>
      </c>
      <c r="E47" s="19">
        <v>103.66</v>
      </c>
      <c r="F47" s="9">
        <f t="shared" si="0"/>
        <v>106.7698</v>
      </c>
      <c r="G47" s="27">
        <f t="shared" si="1"/>
        <v>53.384900000000002</v>
      </c>
      <c r="H47" s="9">
        <f t="shared" si="2"/>
        <v>144.13923000000003</v>
      </c>
    </row>
    <row r="48" spans="1:8" x14ac:dyDescent="0.25">
      <c r="A48" s="16" t="s">
        <v>522</v>
      </c>
      <c r="B48" s="16" t="s">
        <v>544</v>
      </c>
      <c r="C48" s="16" t="s">
        <v>545</v>
      </c>
      <c r="D48" s="16">
        <v>1.8</v>
      </c>
      <c r="E48" s="17">
        <v>103.66</v>
      </c>
      <c r="F48" s="9">
        <f t="shared" si="0"/>
        <v>106.7698</v>
      </c>
      <c r="G48" s="27">
        <f t="shared" si="1"/>
        <v>53.384900000000002</v>
      </c>
      <c r="H48" s="9">
        <f t="shared" si="2"/>
        <v>144.13923000000003</v>
      </c>
    </row>
    <row r="49" spans="1:8" x14ac:dyDescent="0.25">
      <c r="A49" s="18" t="s">
        <v>522</v>
      </c>
      <c r="B49" s="18" t="s">
        <v>544</v>
      </c>
      <c r="C49" s="18" t="s">
        <v>546</v>
      </c>
      <c r="D49" s="18">
        <v>2</v>
      </c>
      <c r="E49" s="19">
        <v>103.66</v>
      </c>
      <c r="F49" s="9">
        <f t="shared" si="0"/>
        <v>106.7698</v>
      </c>
      <c r="G49" s="27">
        <f t="shared" si="1"/>
        <v>53.384900000000002</v>
      </c>
      <c r="H49" s="9">
        <f t="shared" si="2"/>
        <v>144.13923000000003</v>
      </c>
    </row>
    <row r="50" spans="1:8" x14ac:dyDescent="0.25">
      <c r="A50" s="16" t="s">
        <v>522</v>
      </c>
      <c r="B50" s="16" t="s">
        <v>544</v>
      </c>
      <c r="C50" s="16" t="s">
        <v>547</v>
      </c>
      <c r="D50" s="16">
        <v>2.2000000000000002</v>
      </c>
      <c r="E50" s="17">
        <v>103.66</v>
      </c>
      <c r="F50" s="9">
        <f t="shared" si="0"/>
        <v>106.7698</v>
      </c>
      <c r="G50" s="27">
        <f t="shared" si="1"/>
        <v>53.384900000000002</v>
      </c>
      <c r="H50" s="9">
        <f t="shared" si="2"/>
        <v>144.13923000000003</v>
      </c>
    </row>
    <row r="51" spans="1:8" x14ac:dyDescent="0.25">
      <c r="A51" s="18" t="s">
        <v>522</v>
      </c>
      <c r="B51" s="18" t="s">
        <v>398</v>
      </c>
      <c r="C51" s="18" t="s">
        <v>548</v>
      </c>
      <c r="D51" s="18">
        <v>1.8</v>
      </c>
      <c r="E51" s="19">
        <v>103.66</v>
      </c>
      <c r="F51" s="9">
        <f t="shared" si="0"/>
        <v>106.7698</v>
      </c>
      <c r="G51" s="27">
        <f t="shared" si="1"/>
        <v>53.384900000000002</v>
      </c>
      <c r="H51" s="9">
        <f t="shared" si="2"/>
        <v>144.13923000000003</v>
      </c>
    </row>
    <row r="52" spans="1:8" ht="25.5" x14ac:dyDescent="0.25">
      <c r="A52" s="16" t="s">
        <v>549</v>
      </c>
      <c r="B52" s="16" t="s">
        <v>336</v>
      </c>
      <c r="C52" s="16" t="s">
        <v>550</v>
      </c>
      <c r="D52" s="16">
        <v>2</v>
      </c>
      <c r="E52" s="17">
        <v>126.14</v>
      </c>
      <c r="F52" s="9">
        <f t="shared" si="0"/>
        <v>129.92420000000001</v>
      </c>
      <c r="G52" s="27">
        <f t="shared" si="1"/>
        <v>64.962100000000007</v>
      </c>
      <c r="H52" s="9">
        <f t="shared" si="2"/>
        <v>175.39767000000003</v>
      </c>
    </row>
    <row r="53" spans="1:8" x14ac:dyDescent="0.25">
      <c r="A53" s="18" t="s">
        <v>549</v>
      </c>
      <c r="B53" s="18" t="s">
        <v>336</v>
      </c>
      <c r="C53" s="18" t="s">
        <v>551</v>
      </c>
      <c r="D53" s="18">
        <v>2</v>
      </c>
      <c r="E53" s="19">
        <v>126.14</v>
      </c>
      <c r="F53" s="9">
        <f t="shared" si="0"/>
        <v>129.92420000000001</v>
      </c>
      <c r="G53" s="27">
        <f t="shared" si="1"/>
        <v>64.962100000000007</v>
      </c>
      <c r="H53" s="9">
        <f t="shared" si="2"/>
        <v>175.39767000000003</v>
      </c>
    </row>
    <row r="54" spans="1:8" x14ac:dyDescent="0.25">
      <c r="A54" s="16" t="s">
        <v>549</v>
      </c>
      <c r="B54" s="16" t="s">
        <v>336</v>
      </c>
      <c r="C54" s="16" t="s">
        <v>552</v>
      </c>
      <c r="D54" s="16">
        <v>1.8</v>
      </c>
      <c r="E54" s="17">
        <v>126.14</v>
      </c>
      <c r="F54" s="9">
        <f t="shared" si="0"/>
        <v>129.92420000000001</v>
      </c>
      <c r="G54" s="27">
        <f t="shared" si="1"/>
        <v>64.962100000000007</v>
      </c>
      <c r="H54" s="9">
        <f t="shared" si="2"/>
        <v>175.39767000000003</v>
      </c>
    </row>
    <row r="55" spans="1:8" ht="38.25" x14ac:dyDescent="0.25">
      <c r="A55" s="18" t="s">
        <v>549</v>
      </c>
      <c r="B55" s="18" t="s">
        <v>336</v>
      </c>
      <c r="C55" s="18" t="s">
        <v>553</v>
      </c>
      <c r="D55" s="18">
        <v>2</v>
      </c>
      <c r="E55" s="19">
        <v>126.14</v>
      </c>
      <c r="F55" s="9">
        <f t="shared" si="0"/>
        <v>129.92420000000001</v>
      </c>
      <c r="G55" s="27">
        <f t="shared" si="1"/>
        <v>64.962100000000007</v>
      </c>
      <c r="H55" s="9">
        <f t="shared" si="2"/>
        <v>175.39767000000003</v>
      </c>
    </row>
    <row r="56" spans="1:8" ht="38.25" x14ac:dyDescent="0.25">
      <c r="A56" s="16" t="s">
        <v>549</v>
      </c>
      <c r="B56" s="16" t="s">
        <v>336</v>
      </c>
      <c r="C56" s="16" t="s">
        <v>554</v>
      </c>
      <c r="D56" s="16">
        <v>2</v>
      </c>
      <c r="E56" s="17">
        <v>126.14</v>
      </c>
      <c r="F56" s="9">
        <f t="shared" si="0"/>
        <v>129.92420000000001</v>
      </c>
      <c r="G56" s="27">
        <f t="shared" si="1"/>
        <v>64.962100000000007</v>
      </c>
      <c r="H56" s="9">
        <f t="shared" si="2"/>
        <v>175.39767000000003</v>
      </c>
    </row>
    <row r="57" spans="1:8" x14ac:dyDescent="0.25">
      <c r="A57" s="18" t="s">
        <v>549</v>
      </c>
      <c r="B57" s="18" t="s">
        <v>336</v>
      </c>
      <c r="C57" s="18" t="s">
        <v>555</v>
      </c>
      <c r="D57" s="18" t="s">
        <v>18</v>
      </c>
      <c r="E57" s="19">
        <v>126.14</v>
      </c>
      <c r="F57" s="9">
        <f t="shared" si="0"/>
        <v>129.92420000000001</v>
      </c>
      <c r="G57" s="27">
        <f t="shared" si="1"/>
        <v>64.962100000000007</v>
      </c>
      <c r="H57" s="9">
        <f t="shared" si="2"/>
        <v>175.39767000000003</v>
      </c>
    </row>
    <row r="58" spans="1:8" x14ac:dyDescent="0.25">
      <c r="A58" s="16" t="s">
        <v>549</v>
      </c>
      <c r="B58" s="16" t="s">
        <v>336</v>
      </c>
      <c r="C58" s="16" t="s">
        <v>556</v>
      </c>
      <c r="D58" s="16">
        <v>2</v>
      </c>
      <c r="E58" s="17">
        <v>126.14</v>
      </c>
      <c r="F58" s="9">
        <f t="shared" si="0"/>
        <v>129.92420000000001</v>
      </c>
      <c r="G58" s="27">
        <f t="shared" si="1"/>
        <v>64.962100000000007</v>
      </c>
      <c r="H58" s="9">
        <f t="shared" si="2"/>
        <v>175.39767000000003</v>
      </c>
    </row>
    <row r="59" spans="1:8" ht="25.5" x14ac:dyDescent="0.25">
      <c r="A59" s="18" t="s">
        <v>549</v>
      </c>
      <c r="B59" s="18" t="s">
        <v>358</v>
      </c>
      <c r="C59" s="18" t="s">
        <v>557</v>
      </c>
      <c r="D59" s="18" t="s">
        <v>18</v>
      </c>
      <c r="E59" s="19">
        <v>126.14</v>
      </c>
      <c r="F59" s="9">
        <f t="shared" si="0"/>
        <v>129.92420000000001</v>
      </c>
      <c r="G59" s="27">
        <f t="shared" si="1"/>
        <v>64.962100000000007</v>
      </c>
      <c r="H59" s="9">
        <f t="shared" si="2"/>
        <v>175.39767000000003</v>
      </c>
    </row>
    <row r="60" spans="1:8" x14ac:dyDescent="0.25">
      <c r="A60" s="16" t="s">
        <v>549</v>
      </c>
      <c r="B60" s="16" t="s">
        <v>358</v>
      </c>
      <c r="C60" s="16" t="s">
        <v>558</v>
      </c>
      <c r="D60" s="16">
        <v>2</v>
      </c>
      <c r="E60" s="17">
        <v>126.14</v>
      </c>
      <c r="F60" s="9">
        <f t="shared" si="0"/>
        <v>129.92420000000001</v>
      </c>
      <c r="G60" s="27">
        <f t="shared" si="1"/>
        <v>64.962100000000007</v>
      </c>
      <c r="H60" s="9">
        <f t="shared" si="2"/>
        <v>175.39767000000003</v>
      </c>
    </row>
    <row r="61" spans="1:8" ht="25.5" x14ac:dyDescent="0.25">
      <c r="A61" s="18" t="s">
        <v>549</v>
      </c>
      <c r="B61" s="18" t="s">
        <v>358</v>
      </c>
      <c r="C61" s="18" t="s">
        <v>559</v>
      </c>
      <c r="D61" s="18" t="s">
        <v>18</v>
      </c>
      <c r="E61" s="19">
        <v>126.14</v>
      </c>
      <c r="F61" s="9">
        <f t="shared" si="0"/>
        <v>129.92420000000001</v>
      </c>
      <c r="G61" s="27">
        <f t="shared" si="1"/>
        <v>64.962100000000007</v>
      </c>
      <c r="H61" s="9">
        <f t="shared" si="2"/>
        <v>175.39767000000003</v>
      </c>
    </row>
    <row r="62" spans="1:8" x14ac:dyDescent="0.25">
      <c r="A62" s="16" t="s">
        <v>549</v>
      </c>
      <c r="B62" s="16" t="s">
        <v>358</v>
      </c>
      <c r="C62" s="16" t="s">
        <v>560</v>
      </c>
      <c r="D62" s="16">
        <v>2</v>
      </c>
      <c r="E62" s="17">
        <v>126.14</v>
      </c>
      <c r="F62" s="9">
        <f t="shared" si="0"/>
        <v>129.92420000000001</v>
      </c>
      <c r="G62" s="27">
        <f t="shared" si="1"/>
        <v>64.962100000000007</v>
      </c>
      <c r="H62" s="9">
        <f t="shared" si="2"/>
        <v>175.39767000000003</v>
      </c>
    </row>
    <row r="63" spans="1:8" ht="25.5" x14ac:dyDescent="0.25">
      <c r="A63" s="18" t="s">
        <v>549</v>
      </c>
      <c r="B63" s="18" t="s">
        <v>358</v>
      </c>
      <c r="C63" s="18" t="s">
        <v>561</v>
      </c>
      <c r="D63" s="18" t="s">
        <v>18</v>
      </c>
      <c r="E63" s="19">
        <v>126.14</v>
      </c>
      <c r="F63" s="9">
        <f t="shared" si="0"/>
        <v>129.92420000000001</v>
      </c>
      <c r="G63" s="27">
        <f t="shared" si="1"/>
        <v>64.962100000000007</v>
      </c>
      <c r="H63" s="9">
        <f t="shared" si="2"/>
        <v>175.39767000000003</v>
      </c>
    </row>
    <row r="64" spans="1:8" ht="25.5" x14ac:dyDescent="0.25">
      <c r="A64" s="16" t="s">
        <v>549</v>
      </c>
      <c r="B64" s="16" t="s">
        <v>358</v>
      </c>
      <c r="C64" s="16" t="s">
        <v>562</v>
      </c>
      <c r="D64" s="16" t="s">
        <v>18</v>
      </c>
      <c r="E64" s="17">
        <v>126.14</v>
      </c>
      <c r="F64" s="9">
        <f t="shared" si="0"/>
        <v>129.92420000000001</v>
      </c>
      <c r="G64" s="27">
        <f t="shared" si="1"/>
        <v>64.962100000000007</v>
      </c>
      <c r="H64" s="9">
        <f t="shared" si="2"/>
        <v>175.39767000000003</v>
      </c>
    </row>
    <row r="65" spans="1:8" x14ac:dyDescent="0.25">
      <c r="A65" s="18" t="s">
        <v>549</v>
      </c>
      <c r="B65" s="18" t="s">
        <v>381</v>
      </c>
      <c r="C65" s="18" t="s">
        <v>563</v>
      </c>
      <c r="D65" s="18" t="s">
        <v>18</v>
      </c>
      <c r="E65" s="19">
        <v>126.14</v>
      </c>
      <c r="F65" s="9">
        <f t="shared" si="0"/>
        <v>129.92420000000001</v>
      </c>
      <c r="G65" s="27">
        <f t="shared" si="1"/>
        <v>64.962100000000007</v>
      </c>
      <c r="H65" s="9">
        <f t="shared" si="2"/>
        <v>175.39767000000003</v>
      </c>
    </row>
    <row r="66" spans="1:8" x14ac:dyDescent="0.25">
      <c r="A66" s="16" t="s">
        <v>549</v>
      </c>
      <c r="B66" s="16" t="s">
        <v>381</v>
      </c>
      <c r="C66" s="16" t="s">
        <v>564</v>
      </c>
      <c r="D66" s="16">
        <v>2.2000000000000002</v>
      </c>
      <c r="E66" s="17">
        <v>126.14</v>
      </c>
      <c r="F66" s="9">
        <f t="shared" si="0"/>
        <v>129.92420000000001</v>
      </c>
      <c r="G66" s="27">
        <f t="shared" si="1"/>
        <v>64.962100000000007</v>
      </c>
      <c r="H66" s="9">
        <f t="shared" si="2"/>
        <v>175.39767000000003</v>
      </c>
    </row>
    <row r="67" spans="1:8" ht="38.25" x14ac:dyDescent="0.25">
      <c r="A67" s="18" t="s">
        <v>549</v>
      </c>
      <c r="B67" s="18" t="s">
        <v>381</v>
      </c>
      <c r="C67" s="18" t="s">
        <v>565</v>
      </c>
      <c r="D67" s="18">
        <v>2</v>
      </c>
      <c r="E67" s="19">
        <v>126.14</v>
      </c>
      <c r="F67" s="9">
        <f t="shared" ref="F67:F130" si="3">E67*1.03</f>
        <v>129.92420000000001</v>
      </c>
      <c r="G67" s="27">
        <f t="shared" ref="G67:G130" si="4">F67/2</f>
        <v>64.962100000000007</v>
      </c>
      <c r="H67" s="9">
        <f t="shared" ref="H67:H130" si="5">F67*1.35</f>
        <v>175.39767000000003</v>
      </c>
    </row>
    <row r="68" spans="1:8" x14ac:dyDescent="0.25">
      <c r="A68" s="16" t="s">
        <v>549</v>
      </c>
      <c r="B68" s="16" t="s">
        <v>306</v>
      </c>
      <c r="C68" s="16" t="s">
        <v>566</v>
      </c>
      <c r="D68" s="16" t="s">
        <v>18</v>
      </c>
      <c r="E68" s="17">
        <v>126.14</v>
      </c>
      <c r="F68" s="9">
        <f t="shared" si="3"/>
        <v>129.92420000000001</v>
      </c>
      <c r="G68" s="27">
        <f t="shared" si="4"/>
        <v>64.962100000000007</v>
      </c>
      <c r="H68" s="9">
        <f t="shared" si="5"/>
        <v>175.39767000000003</v>
      </c>
    </row>
    <row r="69" spans="1:8" ht="25.5" x14ac:dyDescent="0.25">
      <c r="A69" s="18" t="s">
        <v>549</v>
      </c>
      <c r="B69" s="18" t="s">
        <v>306</v>
      </c>
      <c r="C69" s="18" t="s">
        <v>567</v>
      </c>
      <c r="D69" s="18">
        <v>2</v>
      </c>
      <c r="E69" s="19">
        <v>126.14</v>
      </c>
      <c r="F69" s="9">
        <f t="shared" si="3"/>
        <v>129.92420000000001</v>
      </c>
      <c r="G69" s="27">
        <f t="shared" si="4"/>
        <v>64.962100000000007</v>
      </c>
      <c r="H69" s="9">
        <f t="shared" si="5"/>
        <v>175.39767000000003</v>
      </c>
    </row>
    <row r="70" spans="1:8" ht="25.5" x14ac:dyDescent="0.25">
      <c r="A70" s="16" t="s">
        <v>549</v>
      </c>
      <c r="B70" s="16" t="s">
        <v>306</v>
      </c>
      <c r="C70" s="16" t="s">
        <v>568</v>
      </c>
      <c r="D70" s="16"/>
      <c r="E70" s="17">
        <v>126.14</v>
      </c>
      <c r="F70" s="9">
        <f t="shared" si="3"/>
        <v>129.92420000000001</v>
      </c>
      <c r="G70" s="27">
        <f t="shared" si="4"/>
        <v>64.962100000000007</v>
      </c>
      <c r="H70" s="9">
        <f t="shared" si="5"/>
        <v>175.39767000000003</v>
      </c>
    </row>
    <row r="71" spans="1:8" x14ac:dyDescent="0.25">
      <c r="A71" s="18" t="s">
        <v>549</v>
      </c>
      <c r="B71" s="18" t="s">
        <v>544</v>
      </c>
      <c r="C71" s="18" t="s">
        <v>569</v>
      </c>
      <c r="D71" s="18">
        <v>2</v>
      </c>
      <c r="E71" s="19">
        <v>126.14</v>
      </c>
      <c r="F71" s="9">
        <f t="shared" si="3"/>
        <v>129.92420000000001</v>
      </c>
      <c r="G71" s="27">
        <f t="shared" si="4"/>
        <v>64.962100000000007</v>
      </c>
      <c r="H71" s="9">
        <f t="shared" si="5"/>
        <v>175.39767000000003</v>
      </c>
    </row>
    <row r="72" spans="1:8" ht="25.5" x14ac:dyDescent="0.25">
      <c r="A72" s="16" t="s">
        <v>549</v>
      </c>
      <c r="B72" s="16" t="s">
        <v>544</v>
      </c>
      <c r="C72" s="16" t="s">
        <v>570</v>
      </c>
      <c r="D72" s="16">
        <v>1.8</v>
      </c>
      <c r="E72" s="17">
        <v>126.14</v>
      </c>
      <c r="F72" s="9">
        <f t="shared" si="3"/>
        <v>129.92420000000001</v>
      </c>
      <c r="G72" s="27">
        <f t="shared" si="4"/>
        <v>64.962100000000007</v>
      </c>
      <c r="H72" s="9">
        <f t="shared" si="5"/>
        <v>175.39767000000003</v>
      </c>
    </row>
    <row r="73" spans="1:8" ht="25.5" x14ac:dyDescent="0.25">
      <c r="A73" s="18" t="s">
        <v>549</v>
      </c>
      <c r="B73" s="18" t="s">
        <v>544</v>
      </c>
      <c r="C73" s="18" t="s">
        <v>571</v>
      </c>
      <c r="D73" s="18">
        <v>2</v>
      </c>
      <c r="E73" s="19">
        <v>126.14</v>
      </c>
      <c r="F73" s="9">
        <f t="shared" si="3"/>
        <v>129.92420000000001</v>
      </c>
      <c r="G73" s="27">
        <f t="shared" si="4"/>
        <v>64.962100000000007</v>
      </c>
      <c r="H73" s="9">
        <f t="shared" si="5"/>
        <v>175.39767000000003</v>
      </c>
    </row>
    <row r="74" spans="1:8" ht="25.5" x14ac:dyDescent="0.25">
      <c r="A74" s="16" t="s">
        <v>549</v>
      </c>
      <c r="B74" s="16" t="s">
        <v>544</v>
      </c>
      <c r="C74" s="16" t="s">
        <v>572</v>
      </c>
      <c r="D74" s="16">
        <v>2</v>
      </c>
      <c r="E74" s="17">
        <v>126.14</v>
      </c>
      <c r="F74" s="9">
        <f t="shared" si="3"/>
        <v>129.92420000000001</v>
      </c>
      <c r="G74" s="27">
        <f t="shared" si="4"/>
        <v>64.962100000000007</v>
      </c>
      <c r="H74" s="9">
        <f t="shared" si="5"/>
        <v>175.39767000000003</v>
      </c>
    </row>
    <row r="75" spans="1:8" x14ac:dyDescent="0.25">
      <c r="A75" s="18" t="s">
        <v>549</v>
      </c>
      <c r="B75" s="18" t="s">
        <v>544</v>
      </c>
      <c r="C75" s="18" t="s">
        <v>573</v>
      </c>
      <c r="D75" s="18">
        <v>2</v>
      </c>
      <c r="E75" s="19">
        <v>126.14</v>
      </c>
      <c r="F75" s="9">
        <f t="shared" si="3"/>
        <v>129.92420000000001</v>
      </c>
      <c r="G75" s="27">
        <f t="shared" si="4"/>
        <v>64.962100000000007</v>
      </c>
      <c r="H75" s="9">
        <f t="shared" si="5"/>
        <v>175.39767000000003</v>
      </c>
    </row>
    <row r="76" spans="1:8" x14ac:dyDescent="0.25">
      <c r="A76" s="16" t="s">
        <v>549</v>
      </c>
      <c r="B76" s="16" t="s">
        <v>544</v>
      </c>
      <c r="C76" s="16" t="s">
        <v>574</v>
      </c>
      <c r="D76" s="16">
        <v>2</v>
      </c>
      <c r="E76" s="17">
        <v>126.14</v>
      </c>
      <c r="F76" s="9">
        <f t="shared" si="3"/>
        <v>129.92420000000001</v>
      </c>
      <c r="G76" s="27">
        <f t="shared" si="4"/>
        <v>64.962100000000007</v>
      </c>
      <c r="H76" s="9">
        <f t="shared" si="5"/>
        <v>175.39767000000003</v>
      </c>
    </row>
    <row r="77" spans="1:8" x14ac:dyDescent="0.25">
      <c r="A77" s="18" t="s">
        <v>549</v>
      </c>
      <c r="B77" s="18" t="s">
        <v>398</v>
      </c>
      <c r="C77" s="18" t="s">
        <v>575</v>
      </c>
      <c r="D77" s="18">
        <v>2.5</v>
      </c>
      <c r="E77" s="19">
        <v>126.14</v>
      </c>
      <c r="F77" s="9">
        <f t="shared" si="3"/>
        <v>129.92420000000001</v>
      </c>
      <c r="G77" s="27">
        <f t="shared" si="4"/>
        <v>64.962100000000007</v>
      </c>
      <c r="H77" s="9">
        <f t="shared" si="5"/>
        <v>175.39767000000003</v>
      </c>
    </row>
    <row r="78" spans="1:8" ht="25.5" x14ac:dyDescent="0.25">
      <c r="A78" s="16" t="s">
        <v>576</v>
      </c>
      <c r="B78" s="16" t="s">
        <v>72</v>
      </c>
      <c r="C78" s="16" t="s">
        <v>577</v>
      </c>
      <c r="D78" s="16">
        <v>2.4</v>
      </c>
      <c r="E78" s="17">
        <v>146.4</v>
      </c>
      <c r="F78" s="9">
        <f t="shared" si="3"/>
        <v>150.792</v>
      </c>
      <c r="G78" s="27">
        <f t="shared" si="4"/>
        <v>75.396000000000001</v>
      </c>
      <c r="H78" s="9">
        <f t="shared" si="5"/>
        <v>203.56920000000002</v>
      </c>
    </row>
    <row r="79" spans="1:8" x14ac:dyDescent="0.25">
      <c r="A79" s="18" t="s">
        <v>576</v>
      </c>
      <c r="B79" s="18" t="s">
        <v>336</v>
      </c>
      <c r="C79" s="18" t="s">
        <v>578</v>
      </c>
      <c r="D79" s="18">
        <v>2.5</v>
      </c>
      <c r="E79" s="19">
        <v>146.4</v>
      </c>
      <c r="F79" s="9">
        <f t="shared" si="3"/>
        <v>150.792</v>
      </c>
      <c r="G79" s="27">
        <f t="shared" si="4"/>
        <v>75.396000000000001</v>
      </c>
      <c r="H79" s="9">
        <f t="shared" si="5"/>
        <v>203.56920000000002</v>
      </c>
    </row>
    <row r="80" spans="1:8" ht="25.5" x14ac:dyDescent="0.25">
      <c r="A80" s="16" t="s">
        <v>576</v>
      </c>
      <c r="B80" s="16" t="s">
        <v>336</v>
      </c>
      <c r="C80" s="16" t="s">
        <v>579</v>
      </c>
      <c r="D80" s="16">
        <v>2.5</v>
      </c>
      <c r="E80" s="17">
        <v>146.4</v>
      </c>
      <c r="F80" s="9">
        <f t="shared" si="3"/>
        <v>150.792</v>
      </c>
      <c r="G80" s="27">
        <f t="shared" si="4"/>
        <v>75.396000000000001</v>
      </c>
      <c r="H80" s="9">
        <f t="shared" si="5"/>
        <v>203.56920000000002</v>
      </c>
    </row>
    <row r="81" spans="1:8" x14ac:dyDescent="0.25">
      <c r="A81" s="18" t="s">
        <v>576</v>
      </c>
      <c r="B81" s="18" t="s">
        <v>336</v>
      </c>
      <c r="C81" s="18" t="s">
        <v>580</v>
      </c>
      <c r="D81" s="18">
        <v>2</v>
      </c>
      <c r="E81" s="19">
        <v>146.4</v>
      </c>
      <c r="F81" s="9">
        <f t="shared" si="3"/>
        <v>150.792</v>
      </c>
      <c r="G81" s="27">
        <f t="shared" si="4"/>
        <v>75.396000000000001</v>
      </c>
      <c r="H81" s="9">
        <f t="shared" si="5"/>
        <v>203.56920000000002</v>
      </c>
    </row>
    <row r="82" spans="1:8" ht="25.5" x14ac:dyDescent="0.25">
      <c r="A82" s="16" t="s">
        <v>576</v>
      </c>
      <c r="B82" s="16" t="s">
        <v>336</v>
      </c>
      <c r="C82" s="16" t="s">
        <v>581</v>
      </c>
      <c r="D82" s="16">
        <v>2</v>
      </c>
      <c r="E82" s="17">
        <v>146.4</v>
      </c>
      <c r="F82" s="9">
        <f t="shared" si="3"/>
        <v>150.792</v>
      </c>
      <c r="G82" s="27">
        <f t="shared" si="4"/>
        <v>75.396000000000001</v>
      </c>
      <c r="H82" s="9">
        <f t="shared" si="5"/>
        <v>203.56920000000002</v>
      </c>
    </row>
    <row r="83" spans="1:8" ht="25.5" x14ac:dyDescent="0.25">
      <c r="A83" s="18" t="s">
        <v>576</v>
      </c>
      <c r="B83" s="18" t="s">
        <v>336</v>
      </c>
      <c r="C83" s="18" t="s">
        <v>581</v>
      </c>
      <c r="D83" s="18">
        <v>2</v>
      </c>
      <c r="E83" s="19">
        <v>146.4</v>
      </c>
      <c r="F83" s="9">
        <f t="shared" si="3"/>
        <v>150.792</v>
      </c>
      <c r="G83" s="27">
        <f t="shared" si="4"/>
        <v>75.396000000000001</v>
      </c>
      <c r="H83" s="9">
        <f t="shared" si="5"/>
        <v>203.56920000000002</v>
      </c>
    </row>
    <row r="84" spans="1:8" x14ac:dyDescent="0.25">
      <c r="A84" s="16" t="s">
        <v>576</v>
      </c>
      <c r="B84" s="16" t="s">
        <v>358</v>
      </c>
      <c r="C84" s="16" t="s">
        <v>582</v>
      </c>
      <c r="D84" s="16">
        <v>3</v>
      </c>
      <c r="E84" s="17">
        <v>146.4</v>
      </c>
      <c r="F84" s="9">
        <f t="shared" si="3"/>
        <v>150.792</v>
      </c>
      <c r="G84" s="27">
        <f t="shared" si="4"/>
        <v>75.396000000000001</v>
      </c>
      <c r="H84" s="9">
        <f t="shared" si="5"/>
        <v>203.56920000000002</v>
      </c>
    </row>
    <row r="85" spans="1:8" x14ac:dyDescent="0.25">
      <c r="A85" s="18" t="s">
        <v>576</v>
      </c>
      <c r="B85" s="18" t="s">
        <v>358</v>
      </c>
      <c r="C85" s="18" t="s">
        <v>583</v>
      </c>
      <c r="D85" s="18">
        <v>2.5</v>
      </c>
      <c r="E85" s="19">
        <v>146.4</v>
      </c>
      <c r="F85" s="9">
        <f t="shared" si="3"/>
        <v>150.792</v>
      </c>
      <c r="G85" s="27">
        <f t="shared" si="4"/>
        <v>75.396000000000001</v>
      </c>
      <c r="H85" s="9">
        <f t="shared" si="5"/>
        <v>203.56920000000002</v>
      </c>
    </row>
    <row r="86" spans="1:8" x14ac:dyDescent="0.25">
      <c r="A86" s="16" t="s">
        <v>576</v>
      </c>
      <c r="B86" s="16" t="s">
        <v>358</v>
      </c>
      <c r="C86" s="16" t="s">
        <v>584</v>
      </c>
      <c r="D86" s="16">
        <v>2</v>
      </c>
      <c r="E86" s="17">
        <v>146.4</v>
      </c>
      <c r="F86" s="9">
        <f t="shared" si="3"/>
        <v>150.792</v>
      </c>
      <c r="G86" s="27">
        <f t="shared" si="4"/>
        <v>75.396000000000001</v>
      </c>
      <c r="H86" s="9">
        <f t="shared" si="5"/>
        <v>203.56920000000002</v>
      </c>
    </row>
    <row r="87" spans="1:8" x14ac:dyDescent="0.25">
      <c r="A87" s="18" t="s">
        <v>576</v>
      </c>
      <c r="B87" s="18" t="s">
        <v>155</v>
      </c>
      <c r="C87" s="18" t="s">
        <v>585</v>
      </c>
      <c r="D87" s="18" t="s">
        <v>18</v>
      </c>
      <c r="E87" s="19">
        <v>146.4</v>
      </c>
      <c r="F87" s="9">
        <f t="shared" si="3"/>
        <v>150.792</v>
      </c>
      <c r="G87" s="27">
        <f t="shared" si="4"/>
        <v>75.396000000000001</v>
      </c>
      <c r="H87" s="9">
        <f t="shared" si="5"/>
        <v>203.56920000000002</v>
      </c>
    </row>
    <row r="88" spans="1:8" ht="25.5" x14ac:dyDescent="0.25">
      <c r="A88" s="16" t="s">
        <v>576</v>
      </c>
      <c r="B88" s="16" t="s">
        <v>49</v>
      </c>
      <c r="C88" s="16" t="s">
        <v>586</v>
      </c>
      <c r="D88" s="16">
        <v>3.5</v>
      </c>
      <c r="E88" s="17">
        <v>146.4</v>
      </c>
      <c r="F88" s="9">
        <f t="shared" si="3"/>
        <v>150.792</v>
      </c>
      <c r="G88" s="27">
        <f t="shared" si="4"/>
        <v>75.396000000000001</v>
      </c>
      <c r="H88" s="9">
        <f t="shared" si="5"/>
        <v>203.56920000000002</v>
      </c>
    </row>
    <row r="89" spans="1:8" x14ac:dyDescent="0.25">
      <c r="A89" s="18" t="s">
        <v>576</v>
      </c>
      <c r="B89" s="18" t="s">
        <v>381</v>
      </c>
      <c r="C89" s="18" t="s">
        <v>587</v>
      </c>
      <c r="D89" s="18" t="s">
        <v>18</v>
      </c>
      <c r="E89" s="19">
        <v>146.4</v>
      </c>
      <c r="F89" s="9">
        <f t="shared" si="3"/>
        <v>150.792</v>
      </c>
      <c r="G89" s="27">
        <f t="shared" si="4"/>
        <v>75.396000000000001</v>
      </c>
      <c r="H89" s="9">
        <f t="shared" si="5"/>
        <v>203.56920000000002</v>
      </c>
    </row>
    <row r="90" spans="1:8" ht="38.25" x14ac:dyDescent="0.25">
      <c r="A90" s="16" t="s">
        <v>576</v>
      </c>
      <c r="B90" s="16" t="s">
        <v>381</v>
      </c>
      <c r="C90" s="16" t="s">
        <v>588</v>
      </c>
      <c r="D90" s="16">
        <v>2.2000000000000002</v>
      </c>
      <c r="E90" s="17">
        <v>146.4</v>
      </c>
      <c r="F90" s="9">
        <f t="shared" si="3"/>
        <v>150.792</v>
      </c>
      <c r="G90" s="27">
        <f t="shared" si="4"/>
        <v>75.396000000000001</v>
      </c>
      <c r="H90" s="9">
        <f t="shared" si="5"/>
        <v>203.56920000000002</v>
      </c>
    </row>
    <row r="91" spans="1:8" ht="25.5" x14ac:dyDescent="0.25">
      <c r="A91" s="18" t="s">
        <v>576</v>
      </c>
      <c r="B91" s="18" t="s">
        <v>381</v>
      </c>
      <c r="C91" s="18" t="s">
        <v>589</v>
      </c>
      <c r="D91" s="18">
        <v>2.5</v>
      </c>
      <c r="E91" s="19">
        <v>146.4</v>
      </c>
      <c r="F91" s="9">
        <f t="shared" si="3"/>
        <v>150.792</v>
      </c>
      <c r="G91" s="27">
        <f t="shared" si="4"/>
        <v>75.396000000000001</v>
      </c>
      <c r="H91" s="9">
        <f t="shared" si="5"/>
        <v>203.56920000000002</v>
      </c>
    </row>
    <row r="92" spans="1:8" ht="25.5" x14ac:dyDescent="0.25">
      <c r="A92" s="16" t="s">
        <v>576</v>
      </c>
      <c r="B92" s="16" t="s">
        <v>381</v>
      </c>
      <c r="C92" s="16" t="s">
        <v>590</v>
      </c>
      <c r="D92" s="16">
        <v>2.5</v>
      </c>
      <c r="E92" s="17">
        <v>146.4</v>
      </c>
      <c r="F92" s="9">
        <f t="shared" si="3"/>
        <v>150.792</v>
      </c>
      <c r="G92" s="27">
        <f t="shared" si="4"/>
        <v>75.396000000000001</v>
      </c>
      <c r="H92" s="9">
        <f t="shared" si="5"/>
        <v>203.56920000000002</v>
      </c>
    </row>
    <row r="93" spans="1:8" x14ac:dyDescent="0.25">
      <c r="A93" s="18" t="s">
        <v>576</v>
      </c>
      <c r="B93" s="18" t="s">
        <v>390</v>
      </c>
      <c r="C93" s="18" t="s">
        <v>591</v>
      </c>
      <c r="D93" s="18" t="s">
        <v>18</v>
      </c>
      <c r="E93" s="19">
        <v>146.4</v>
      </c>
      <c r="F93" s="9">
        <f t="shared" si="3"/>
        <v>150.792</v>
      </c>
      <c r="G93" s="27">
        <f t="shared" si="4"/>
        <v>75.396000000000001</v>
      </c>
      <c r="H93" s="9">
        <f t="shared" si="5"/>
        <v>203.56920000000002</v>
      </c>
    </row>
    <row r="94" spans="1:8" ht="38.25" x14ac:dyDescent="0.25">
      <c r="A94" s="16" t="s">
        <v>576</v>
      </c>
      <c r="B94" s="16" t="s">
        <v>306</v>
      </c>
      <c r="C94" s="16" t="s">
        <v>592</v>
      </c>
      <c r="D94" s="16" t="s">
        <v>18</v>
      </c>
      <c r="E94" s="17">
        <v>146.4</v>
      </c>
      <c r="F94" s="9">
        <f t="shared" si="3"/>
        <v>150.792</v>
      </c>
      <c r="G94" s="27">
        <f t="shared" si="4"/>
        <v>75.396000000000001</v>
      </c>
      <c r="H94" s="9">
        <f t="shared" si="5"/>
        <v>203.56920000000002</v>
      </c>
    </row>
    <row r="95" spans="1:8" ht="25.5" x14ac:dyDescent="0.25">
      <c r="A95" s="18" t="s">
        <v>576</v>
      </c>
      <c r="B95" s="18" t="s">
        <v>306</v>
      </c>
      <c r="C95" s="18" t="s">
        <v>593</v>
      </c>
      <c r="D95" s="18" t="s">
        <v>18</v>
      </c>
      <c r="E95" s="19">
        <v>146.4</v>
      </c>
      <c r="F95" s="9">
        <f t="shared" si="3"/>
        <v>150.792</v>
      </c>
      <c r="G95" s="27">
        <f t="shared" si="4"/>
        <v>75.396000000000001</v>
      </c>
      <c r="H95" s="9">
        <f t="shared" si="5"/>
        <v>203.56920000000002</v>
      </c>
    </row>
    <row r="96" spans="1:8" ht="25.5" x14ac:dyDescent="0.25">
      <c r="A96" s="16" t="s">
        <v>576</v>
      </c>
      <c r="B96" s="16" t="s">
        <v>306</v>
      </c>
      <c r="C96" s="16" t="s">
        <v>594</v>
      </c>
      <c r="D96" s="16">
        <v>2.2999999999999998</v>
      </c>
      <c r="E96" s="17">
        <v>146.4</v>
      </c>
      <c r="F96" s="9">
        <f t="shared" si="3"/>
        <v>150.792</v>
      </c>
      <c r="G96" s="27">
        <f t="shared" si="4"/>
        <v>75.396000000000001</v>
      </c>
      <c r="H96" s="9">
        <f t="shared" si="5"/>
        <v>203.56920000000002</v>
      </c>
    </row>
    <row r="97" spans="1:8" x14ac:dyDescent="0.25">
      <c r="A97" s="18" t="s">
        <v>576</v>
      </c>
      <c r="B97" s="18" t="s">
        <v>306</v>
      </c>
      <c r="C97" s="18" t="s">
        <v>595</v>
      </c>
      <c r="D97" s="18" t="s">
        <v>18</v>
      </c>
      <c r="E97" s="19">
        <v>146.4</v>
      </c>
      <c r="F97" s="9">
        <f t="shared" si="3"/>
        <v>150.792</v>
      </c>
      <c r="G97" s="27">
        <f t="shared" si="4"/>
        <v>75.396000000000001</v>
      </c>
      <c r="H97" s="9">
        <f t="shared" si="5"/>
        <v>203.56920000000002</v>
      </c>
    </row>
    <row r="98" spans="1:8" ht="25.5" x14ac:dyDescent="0.25">
      <c r="A98" s="16" t="s">
        <v>576</v>
      </c>
      <c r="B98" s="16" t="s">
        <v>306</v>
      </c>
      <c r="C98" s="16" t="s">
        <v>596</v>
      </c>
      <c r="D98" s="16">
        <v>3</v>
      </c>
      <c r="E98" s="17">
        <v>146.4</v>
      </c>
      <c r="F98" s="9">
        <f t="shared" si="3"/>
        <v>150.792</v>
      </c>
      <c r="G98" s="27">
        <f t="shared" si="4"/>
        <v>75.396000000000001</v>
      </c>
      <c r="H98" s="9">
        <f t="shared" si="5"/>
        <v>203.56920000000002</v>
      </c>
    </row>
    <row r="99" spans="1:8" ht="25.5" x14ac:dyDescent="0.25">
      <c r="A99" s="18" t="s">
        <v>576</v>
      </c>
      <c r="B99" s="18" t="s">
        <v>306</v>
      </c>
      <c r="C99" s="18" t="s">
        <v>597</v>
      </c>
      <c r="D99" s="18">
        <v>2</v>
      </c>
      <c r="E99" s="19">
        <v>146.4</v>
      </c>
      <c r="F99" s="9">
        <f t="shared" si="3"/>
        <v>150.792</v>
      </c>
      <c r="G99" s="27">
        <f t="shared" si="4"/>
        <v>75.396000000000001</v>
      </c>
      <c r="H99" s="9">
        <f t="shared" si="5"/>
        <v>203.56920000000002</v>
      </c>
    </row>
    <row r="100" spans="1:8" ht="25.5" x14ac:dyDescent="0.25">
      <c r="A100" s="16" t="s">
        <v>576</v>
      </c>
      <c r="B100" s="16" t="s">
        <v>544</v>
      </c>
      <c r="C100" s="16" t="s">
        <v>598</v>
      </c>
      <c r="D100" s="16">
        <v>2</v>
      </c>
      <c r="E100" s="17">
        <v>146.4</v>
      </c>
      <c r="F100" s="9">
        <f t="shared" si="3"/>
        <v>150.792</v>
      </c>
      <c r="G100" s="27">
        <f t="shared" si="4"/>
        <v>75.396000000000001</v>
      </c>
      <c r="H100" s="9">
        <f t="shared" si="5"/>
        <v>203.56920000000002</v>
      </c>
    </row>
    <row r="101" spans="1:8" ht="25.5" x14ac:dyDescent="0.25">
      <c r="A101" s="18" t="s">
        <v>576</v>
      </c>
      <c r="B101" s="18" t="s">
        <v>398</v>
      </c>
      <c r="C101" s="18" t="s">
        <v>599</v>
      </c>
      <c r="D101" s="18">
        <v>2</v>
      </c>
      <c r="E101" s="19">
        <v>146.4</v>
      </c>
      <c r="F101" s="9">
        <f t="shared" si="3"/>
        <v>150.792</v>
      </c>
      <c r="G101" s="27">
        <f t="shared" si="4"/>
        <v>75.396000000000001</v>
      </c>
      <c r="H101" s="9">
        <f t="shared" si="5"/>
        <v>203.56920000000002</v>
      </c>
    </row>
    <row r="102" spans="1:8" ht="25.5" x14ac:dyDescent="0.25">
      <c r="A102" s="16" t="s">
        <v>576</v>
      </c>
      <c r="B102" s="16" t="s">
        <v>398</v>
      </c>
      <c r="C102" s="16" t="s">
        <v>600</v>
      </c>
      <c r="D102" s="16">
        <v>2.4</v>
      </c>
      <c r="E102" s="17">
        <v>146.4</v>
      </c>
      <c r="F102" s="9">
        <f t="shared" si="3"/>
        <v>150.792</v>
      </c>
      <c r="G102" s="27">
        <f t="shared" si="4"/>
        <v>75.396000000000001</v>
      </c>
      <c r="H102" s="9">
        <f t="shared" si="5"/>
        <v>203.56920000000002</v>
      </c>
    </row>
    <row r="103" spans="1:8" ht="25.5" x14ac:dyDescent="0.25">
      <c r="A103" s="18" t="s">
        <v>576</v>
      </c>
      <c r="B103" s="18" t="s">
        <v>398</v>
      </c>
      <c r="C103" s="18" t="s">
        <v>601</v>
      </c>
      <c r="D103" s="18">
        <v>2.5</v>
      </c>
      <c r="E103" s="19">
        <v>146.4</v>
      </c>
      <c r="F103" s="9">
        <f t="shared" si="3"/>
        <v>150.792</v>
      </c>
      <c r="G103" s="27">
        <f t="shared" si="4"/>
        <v>75.396000000000001</v>
      </c>
      <c r="H103" s="9">
        <f t="shared" si="5"/>
        <v>203.56920000000002</v>
      </c>
    </row>
    <row r="104" spans="1:8" x14ac:dyDescent="0.25">
      <c r="A104" s="16" t="s">
        <v>576</v>
      </c>
      <c r="B104" s="16" t="s">
        <v>398</v>
      </c>
      <c r="C104" s="16" t="s">
        <v>602</v>
      </c>
      <c r="D104" s="16">
        <v>2</v>
      </c>
      <c r="E104" s="17">
        <v>146.4</v>
      </c>
      <c r="F104" s="9">
        <f t="shared" si="3"/>
        <v>150.792</v>
      </c>
      <c r="G104" s="27">
        <f t="shared" si="4"/>
        <v>75.396000000000001</v>
      </c>
      <c r="H104" s="9">
        <f t="shared" si="5"/>
        <v>203.56920000000002</v>
      </c>
    </row>
    <row r="105" spans="1:8" ht="38.25" x14ac:dyDescent="0.25">
      <c r="A105" s="18" t="s">
        <v>576</v>
      </c>
      <c r="B105" s="18" t="s">
        <v>398</v>
      </c>
      <c r="C105" s="18" t="s">
        <v>603</v>
      </c>
      <c r="D105" s="18"/>
      <c r="E105" s="19">
        <v>146.4</v>
      </c>
      <c r="F105" s="9">
        <f t="shared" si="3"/>
        <v>150.792</v>
      </c>
      <c r="G105" s="27">
        <f t="shared" si="4"/>
        <v>75.396000000000001</v>
      </c>
      <c r="H105" s="9">
        <f t="shared" si="5"/>
        <v>203.56920000000002</v>
      </c>
    </row>
    <row r="106" spans="1:8" ht="25.5" x14ac:dyDescent="0.25">
      <c r="A106" s="16" t="s">
        <v>604</v>
      </c>
      <c r="B106" s="16" t="s">
        <v>72</v>
      </c>
      <c r="C106" s="16" t="s">
        <v>605</v>
      </c>
      <c r="D106" s="16">
        <v>3.2</v>
      </c>
      <c r="E106" s="17">
        <v>165.58</v>
      </c>
      <c r="F106" s="9">
        <f t="shared" si="3"/>
        <v>170.54740000000001</v>
      </c>
      <c r="G106" s="27">
        <f t="shared" si="4"/>
        <v>85.273700000000005</v>
      </c>
      <c r="H106" s="9">
        <f t="shared" si="5"/>
        <v>230.23899000000003</v>
      </c>
    </row>
    <row r="107" spans="1:8" ht="25.5" x14ac:dyDescent="0.25">
      <c r="A107" s="18" t="s">
        <v>604</v>
      </c>
      <c r="B107" s="18" t="s">
        <v>336</v>
      </c>
      <c r="C107" s="18" t="s">
        <v>606</v>
      </c>
      <c r="D107" s="18" t="s">
        <v>607</v>
      </c>
      <c r="E107" s="19">
        <v>165.58</v>
      </c>
      <c r="F107" s="9">
        <f t="shared" si="3"/>
        <v>170.54740000000001</v>
      </c>
      <c r="G107" s="27">
        <f t="shared" si="4"/>
        <v>85.273700000000005</v>
      </c>
      <c r="H107" s="9">
        <f t="shared" si="5"/>
        <v>230.23899000000003</v>
      </c>
    </row>
    <row r="108" spans="1:8" x14ac:dyDescent="0.25">
      <c r="A108" s="16" t="s">
        <v>604</v>
      </c>
      <c r="B108" s="16" t="s">
        <v>336</v>
      </c>
      <c r="C108" s="16" t="s">
        <v>608</v>
      </c>
      <c r="D108" s="16">
        <v>3.2</v>
      </c>
      <c r="E108" s="17">
        <v>165.58</v>
      </c>
      <c r="F108" s="9">
        <f t="shared" si="3"/>
        <v>170.54740000000001</v>
      </c>
      <c r="G108" s="27">
        <f t="shared" si="4"/>
        <v>85.273700000000005</v>
      </c>
      <c r="H108" s="9">
        <f t="shared" si="5"/>
        <v>230.23899000000003</v>
      </c>
    </row>
    <row r="109" spans="1:8" x14ac:dyDescent="0.25">
      <c r="A109" s="18" t="s">
        <v>604</v>
      </c>
      <c r="B109" s="18" t="s">
        <v>336</v>
      </c>
      <c r="C109" s="18" t="s">
        <v>609</v>
      </c>
      <c r="D109" s="18">
        <v>2.5</v>
      </c>
      <c r="E109" s="19">
        <v>165.58</v>
      </c>
      <c r="F109" s="9">
        <f t="shared" si="3"/>
        <v>170.54740000000001</v>
      </c>
      <c r="G109" s="27">
        <f t="shared" si="4"/>
        <v>85.273700000000005</v>
      </c>
      <c r="H109" s="9">
        <f t="shared" si="5"/>
        <v>230.23899000000003</v>
      </c>
    </row>
    <row r="110" spans="1:8" x14ac:dyDescent="0.25">
      <c r="A110" s="16" t="s">
        <v>604</v>
      </c>
      <c r="B110" s="16" t="s">
        <v>336</v>
      </c>
      <c r="C110" s="16" t="s">
        <v>610</v>
      </c>
      <c r="D110" s="16">
        <v>2.5</v>
      </c>
      <c r="E110" s="17">
        <v>165.58</v>
      </c>
      <c r="F110" s="9">
        <f t="shared" si="3"/>
        <v>170.54740000000001</v>
      </c>
      <c r="G110" s="27">
        <f t="shared" si="4"/>
        <v>85.273700000000005</v>
      </c>
      <c r="H110" s="9">
        <f t="shared" si="5"/>
        <v>230.23899000000003</v>
      </c>
    </row>
    <row r="111" spans="1:8" ht="25.5" x14ac:dyDescent="0.25">
      <c r="A111" s="18" t="s">
        <v>604</v>
      </c>
      <c r="B111" s="18" t="s">
        <v>336</v>
      </c>
      <c r="C111" s="18" t="s">
        <v>611</v>
      </c>
      <c r="D111" s="18">
        <v>3</v>
      </c>
      <c r="E111" s="19">
        <v>165.58</v>
      </c>
      <c r="F111" s="9">
        <f t="shared" si="3"/>
        <v>170.54740000000001</v>
      </c>
      <c r="G111" s="27">
        <f t="shared" si="4"/>
        <v>85.273700000000005</v>
      </c>
      <c r="H111" s="9">
        <f t="shared" si="5"/>
        <v>230.23899000000003</v>
      </c>
    </row>
    <row r="112" spans="1:8" ht="38.25" x14ac:dyDescent="0.25">
      <c r="A112" s="16" t="s">
        <v>604</v>
      </c>
      <c r="B112" s="16" t="s">
        <v>358</v>
      </c>
      <c r="C112" s="16" t="s">
        <v>612</v>
      </c>
      <c r="D112" s="16">
        <v>2</v>
      </c>
      <c r="E112" s="17">
        <v>165.58</v>
      </c>
      <c r="F112" s="9">
        <f t="shared" si="3"/>
        <v>170.54740000000001</v>
      </c>
      <c r="G112" s="27">
        <f t="shared" si="4"/>
        <v>85.273700000000005</v>
      </c>
      <c r="H112" s="9">
        <f t="shared" si="5"/>
        <v>230.23899000000003</v>
      </c>
    </row>
    <row r="113" spans="1:8" x14ac:dyDescent="0.25">
      <c r="A113" s="18" t="s">
        <v>604</v>
      </c>
      <c r="B113" s="18" t="s">
        <v>358</v>
      </c>
      <c r="C113" s="18" t="s">
        <v>613</v>
      </c>
      <c r="D113" s="18">
        <v>3</v>
      </c>
      <c r="E113" s="19">
        <v>165.58</v>
      </c>
      <c r="F113" s="9">
        <f t="shared" si="3"/>
        <v>170.54740000000001</v>
      </c>
      <c r="G113" s="27">
        <f t="shared" si="4"/>
        <v>85.273700000000005</v>
      </c>
      <c r="H113" s="9">
        <f t="shared" si="5"/>
        <v>230.23899000000003</v>
      </c>
    </row>
    <row r="114" spans="1:8" x14ac:dyDescent="0.25">
      <c r="A114" s="16" t="s">
        <v>604</v>
      </c>
      <c r="B114" s="16" t="s">
        <v>358</v>
      </c>
      <c r="C114" s="16" t="s">
        <v>614</v>
      </c>
      <c r="D114" s="16">
        <v>2.5</v>
      </c>
      <c r="E114" s="17">
        <v>165.58</v>
      </c>
      <c r="F114" s="9">
        <f t="shared" si="3"/>
        <v>170.54740000000001</v>
      </c>
      <c r="G114" s="27">
        <f t="shared" si="4"/>
        <v>85.273700000000005</v>
      </c>
      <c r="H114" s="9">
        <f t="shared" si="5"/>
        <v>230.23899000000003</v>
      </c>
    </row>
    <row r="115" spans="1:8" ht="25.5" x14ac:dyDescent="0.25">
      <c r="A115" s="18" t="s">
        <v>604</v>
      </c>
      <c r="B115" s="18" t="s">
        <v>358</v>
      </c>
      <c r="C115" s="18" t="s">
        <v>615</v>
      </c>
      <c r="D115" s="18"/>
      <c r="E115" s="19">
        <v>165.58</v>
      </c>
      <c r="F115" s="9">
        <f t="shared" si="3"/>
        <v>170.54740000000001</v>
      </c>
      <c r="G115" s="27">
        <f t="shared" si="4"/>
        <v>85.273700000000005</v>
      </c>
      <c r="H115" s="9">
        <f t="shared" si="5"/>
        <v>230.23899000000003</v>
      </c>
    </row>
    <row r="116" spans="1:8" x14ac:dyDescent="0.25">
      <c r="A116" s="16" t="s">
        <v>604</v>
      </c>
      <c r="B116" s="16" t="s">
        <v>435</v>
      </c>
      <c r="C116" s="16" t="s">
        <v>616</v>
      </c>
      <c r="D116" s="16"/>
      <c r="E116" s="17">
        <v>165.58</v>
      </c>
      <c r="F116" s="9">
        <f t="shared" si="3"/>
        <v>170.54740000000001</v>
      </c>
      <c r="G116" s="27">
        <f t="shared" si="4"/>
        <v>85.273700000000005</v>
      </c>
      <c r="H116" s="9">
        <f t="shared" si="5"/>
        <v>230.23899000000003</v>
      </c>
    </row>
    <row r="117" spans="1:8" x14ac:dyDescent="0.25">
      <c r="A117" s="18" t="s">
        <v>604</v>
      </c>
      <c r="B117" s="18" t="s">
        <v>381</v>
      </c>
      <c r="C117" s="18" t="s">
        <v>617</v>
      </c>
      <c r="D117" s="18">
        <v>2.7</v>
      </c>
      <c r="E117" s="19">
        <v>165.58</v>
      </c>
      <c r="F117" s="9">
        <f t="shared" si="3"/>
        <v>170.54740000000001</v>
      </c>
      <c r="G117" s="27">
        <f t="shared" si="4"/>
        <v>85.273700000000005</v>
      </c>
      <c r="H117" s="9">
        <f t="shared" si="5"/>
        <v>230.23899000000003</v>
      </c>
    </row>
    <row r="118" spans="1:8" ht="25.5" x14ac:dyDescent="0.25">
      <c r="A118" s="16" t="s">
        <v>604</v>
      </c>
      <c r="B118" s="16" t="s">
        <v>381</v>
      </c>
      <c r="C118" s="16" t="s">
        <v>618</v>
      </c>
      <c r="D118" s="16" t="s">
        <v>18</v>
      </c>
      <c r="E118" s="17">
        <v>165.58</v>
      </c>
      <c r="F118" s="9">
        <f t="shared" si="3"/>
        <v>170.54740000000001</v>
      </c>
      <c r="G118" s="27">
        <f t="shared" si="4"/>
        <v>85.273700000000005</v>
      </c>
      <c r="H118" s="9">
        <f t="shared" si="5"/>
        <v>230.23899000000003</v>
      </c>
    </row>
    <row r="119" spans="1:8" ht="25.5" x14ac:dyDescent="0.25">
      <c r="A119" s="18" t="s">
        <v>604</v>
      </c>
      <c r="B119" s="18" t="s">
        <v>381</v>
      </c>
      <c r="C119" s="18" t="s">
        <v>619</v>
      </c>
      <c r="D119" s="18">
        <v>2</v>
      </c>
      <c r="E119" s="19">
        <v>165.58</v>
      </c>
      <c r="F119" s="9">
        <f t="shared" si="3"/>
        <v>170.54740000000001</v>
      </c>
      <c r="G119" s="27">
        <f t="shared" si="4"/>
        <v>85.273700000000005</v>
      </c>
      <c r="H119" s="9">
        <f t="shared" si="5"/>
        <v>230.23899000000003</v>
      </c>
    </row>
    <row r="120" spans="1:8" ht="25.5" x14ac:dyDescent="0.25">
      <c r="A120" s="16" t="s">
        <v>604</v>
      </c>
      <c r="B120" s="16" t="s">
        <v>381</v>
      </c>
      <c r="C120" s="16" t="s">
        <v>620</v>
      </c>
      <c r="D120" s="16">
        <v>2</v>
      </c>
      <c r="E120" s="17">
        <v>165.58</v>
      </c>
      <c r="F120" s="9">
        <f t="shared" si="3"/>
        <v>170.54740000000001</v>
      </c>
      <c r="G120" s="27">
        <f t="shared" si="4"/>
        <v>85.273700000000005</v>
      </c>
      <c r="H120" s="9">
        <f t="shared" si="5"/>
        <v>230.23899000000003</v>
      </c>
    </row>
    <row r="121" spans="1:8" ht="25.5" x14ac:dyDescent="0.25">
      <c r="A121" s="18" t="s">
        <v>604</v>
      </c>
      <c r="B121" s="18" t="s">
        <v>381</v>
      </c>
      <c r="C121" s="18" t="s">
        <v>621</v>
      </c>
      <c r="D121" s="18">
        <v>2.2000000000000002</v>
      </c>
      <c r="E121" s="19">
        <v>165.58</v>
      </c>
      <c r="F121" s="9">
        <f t="shared" si="3"/>
        <v>170.54740000000001</v>
      </c>
      <c r="G121" s="27">
        <f t="shared" si="4"/>
        <v>85.273700000000005</v>
      </c>
      <c r="H121" s="9">
        <f t="shared" si="5"/>
        <v>230.23899000000003</v>
      </c>
    </row>
    <row r="122" spans="1:8" ht="25.5" x14ac:dyDescent="0.25">
      <c r="A122" s="16" t="s">
        <v>604</v>
      </c>
      <c r="B122" s="16" t="s">
        <v>306</v>
      </c>
      <c r="C122" s="16" t="s">
        <v>622</v>
      </c>
      <c r="D122" s="16">
        <v>3.2</v>
      </c>
      <c r="E122" s="17">
        <v>165.58</v>
      </c>
      <c r="F122" s="9">
        <f t="shared" si="3"/>
        <v>170.54740000000001</v>
      </c>
      <c r="G122" s="27">
        <f t="shared" si="4"/>
        <v>85.273700000000005</v>
      </c>
      <c r="H122" s="9">
        <f t="shared" si="5"/>
        <v>230.23899000000003</v>
      </c>
    </row>
    <row r="123" spans="1:8" ht="25.5" x14ac:dyDescent="0.25">
      <c r="A123" s="18" t="s">
        <v>604</v>
      </c>
      <c r="B123" s="18" t="s">
        <v>306</v>
      </c>
      <c r="C123" s="18" t="s">
        <v>623</v>
      </c>
      <c r="D123" s="18" t="s">
        <v>18</v>
      </c>
      <c r="E123" s="19">
        <v>165.58</v>
      </c>
      <c r="F123" s="9">
        <f t="shared" si="3"/>
        <v>170.54740000000001</v>
      </c>
      <c r="G123" s="27">
        <f t="shared" si="4"/>
        <v>85.273700000000005</v>
      </c>
      <c r="H123" s="9">
        <f t="shared" si="5"/>
        <v>230.23899000000003</v>
      </c>
    </row>
    <row r="124" spans="1:8" ht="25.5" x14ac:dyDescent="0.25">
      <c r="A124" s="16" t="s">
        <v>604</v>
      </c>
      <c r="B124" s="16" t="s">
        <v>306</v>
      </c>
      <c r="C124" s="16" t="s">
        <v>624</v>
      </c>
      <c r="D124" s="16" t="s">
        <v>18</v>
      </c>
      <c r="E124" s="17">
        <v>165.58</v>
      </c>
      <c r="F124" s="9">
        <f t="shared" si="3"/>
        <v>170.54740000000001</v>
      </c>
      <c r="G124" s="27">
        <f t="shared" si="4"/>
        <v>85.273700000000005</v>
      </c>
      <c r="H124" s="9">
        <f t="shared" si="5"/>
        <v>230.23899000000003</v>
      </c>
    </row>
    <row r="125" spans="1:8" ht="25.5" x14ac:dyDescent="0.25">
      <c r="A125" s="18" t="s">
        <v>604</v>
      </c>
      <c r="B125" s="18" t="s">
        <v>306</v>
      </c>
      <c r="C125" s="18" t="s">
        <v>625</v>
      </c>
      <c r="D125" s="18">
        <v>2.8</v>
      </c>
      <c r="E125" s="19">
        <v>165.58</v>
      </c>
      <c r="F125" s="9">
        <f t="shared" si="3"/>
        <v>170.54740000000001</v>
      </c>
      <c r="G125" s="27">
        <f t="shared" si="4"/>
        <v>85.273700000000005</v>
      </c>
      <c r="H125" s="9">
        <f t="shared" si="5"/>
        <v>230.23899000000003</v>
      </c>
    </row>
    <row r="126" spans="1:8" ht="25.5" x14ac:dyDescent="0.25">
      <c r="A126" s="16" t="s">
        <v>604</v>
      </c>
      <c r="B126" s="16" t="s">
        <v>306</v>
      </c>
      <c r="C126" s="16" t="s">
        <v>626</v>
      </c>
      <c r="D126" s="16">
        <v>3</v>
      </c>
      <c r="E126" s="17">
        <v>165.58</v>
      </c>
      <c r="F126" s="9">
        <f t="shared" si="3"/>
        <v>170.54740000000001</v>
      </c>
      <c r="G126" s="27">
        <f t="shared" si="4"/>
        <v>85.273700000000005</v>
      </c>
      <c r="H126" s="9">
        <f t="shared" si="5"/>
        <v>230.23899000000003</v>
      </c>
    </row>
    <row r="127" spans="1:8" ht="25.5" x14ac:dyDescent="0.25">
      <c r="A127" s="18" t="s">
        <v>604</v>
      </c>
      <c r="B127" s="18" t="s">
        <v>544</v>
      </c>
      <c r="C127" s="18" t="s">
        <v>627</v>
      </c>
      <c r="D127" s="18">
        <v>2.8</v>
      </c>
      <c r="E127" s="19">
        <v>165.58</v>
      </c>
      <c r="F127" s="9">
        <f t="shared" si="3"/>
        <v>170.54740000000001</v>
      </c>
      <c r="G127" s="27">
        <f t="shared" si="4"/>
        <v>85.273700000000005</v>
      </c>
      <c r="H127" s="9">
        <f t="shared" si="5"/>
        <v>230.23899000000003</v>
      </c>
    </row>
    <row r="128" spans="1:8" ht="25.5" x14ac:dyDescent="0.25">
      <c r="A128" s="16" t="s">
        <v>604</v>
      </c>
      <c r="B128" s="16" t="s">
        <v>398</v>
      </c>
      <c r="C128" s="16" t="s">
        <v>628</v>
      </c>
      <c r="D128" s="16">
        <v>2.4</v>
      </c>
      <c r="E128" s="17">
        <v>165.58</v>
      </c>
      <c r="F128" s="9">
        <f t="shared" si="3"/>
        <v>170.54740000000001</v>
      </c>
      <c r="G128" s="27">
        <f t="shared" si="4"/>
        <v>85.273700000000005</v>
      </c>
      <c r="H128" s="9">
        <f t="shared" si="5"/>
        <v>230.23899000000003</v>
      </c>
    </row>
    <row r="129" spans="1:8" x14ac:dyDescent="0.25">
      <c r="A129" s="18" t="s">
        <v>604</v>
      </c>
      <c r="B129" s="18" t="s">
        <v>398</v>
      </c>
      <c r="C129" s="18" t="s">
        <v>629</v>
      </c>
      <c r="D129" s="18">
        <v>2.4</v>
      </c>
      <c r="E129" s="19">
        <v>165.58</v>
      </c>
      <c r="F129" s="9">
        <f t="shared" si="3"/>
        <v>170.54740000000001</v>
      </c>
      <c r="G129" s="27">
        <f t="shared" si="4"/>
        <v>85.273700000000005</v>
      </c>
      <c r="H129" s="9">
        <f t="shared" si="5"/>
        <v>230.23899000000003</v>
      </c>
    </row>
    <row r="130" spans="1:8" x14ac:dyDescent="0.25">
      <c r="A130" s="16" t="s">
        <v>630</v>
      </c>
      <c r="B130" s="16" t="s">
        <v>336</v>
      </c>
      <c r="C130" s="16" t="s">
        <v>631</v>
      </c>
      <c r="D130" s="16">
        <v>3.2</v>
      </c>
      <c r="E130" s="17">
        <v>193.15</v>
      </c>
      <c r="F130" s="9">
        <f t="shared" si="3"/>
        <v>198.94450000000001</v>
      </c>
      <c r="G130" s="27">
        <f t="shared" si="4"/>
        <v>99.472250000000003</v>
      </c>
      <c r="H130" s="9">
        <f t="shared" si="5"/>
        <v>268.57507500000003</v>
      </c>
    </row>
    <row r="131" spans="1:8" ht="25.5" x14ac:dyDescent="0.25">
      <c r="A131" s="18" t="s">
        <v>630</v>
      </c>
      <c r="B131" s="18" t="s">
        <v>336</v>
      </c>
      <c r="C131" s="18" t="s">
        <v>632</v>
      </c>
      <c r="D131" s="18">
        <v>3</v>
      </c>
      <c r="E131" s="19">
        <v>193.15</v>
      </c>
      <c r="F131" s="9">
        <f t="shared" ref="F131:F194" si="6">E131*1.03</f>
        <v>198.94450000000001</v>
      </c>
      <c r="G131" s="27">
        <f t="shared" ref="G131:G194" si="7">F131/2</f>
        <v>99.472250000000003</v>
      </c>
      <c r="H131" s="9">
        <f t="shared" ref="H131:H194" si="8">F131*1.35</f>
        <v>268.57507500000003</v>
      </c>
    </row>
    <row r="132" spans="1:8" x14ac:dyDescent="0.25">
      <c r="A132" s="16" t="s">
        <v>630</v>
      </c>
      <c r="B132" s="16" t="s">
        <v>336</v>
      </c>
      <c r="C132" s="16" t="s">
        <v>633</v>
      </c>
      <c r="D132" s="16">
        <v>3</v>
      </c>
      <c r="E132" s="17">
        <v>193.15</v>
      </c>
      <c r="F132" s="9">
        <f t="shared" si="6"/>
        <v>198.94450000000001</v>
      </c>
      <c r="G132" s="27">
        <f t="shared" si="7"/>
        <v>99.472250000000003</v>
      </c>
      <c r="H132" s="9">
        <f t="shared" si="8"/>
        <v>268.57507500000003</v>
      </c>
    </row>
    <row r="133" spans="1:8" ht="25.5" x14ac:dyDescent="0.25">
      <c r="A133" s="18" t="s">
        <v>630</v>
      </c>
      <c r="B133" s="18" t="s">
        <v>358</v>
      </c>
      <c r="C133" s="18" t="s">
        <v>634</v>
      </c>
      <c r="D133" s="18">
        <v>3</v>
      </c>
      <c r="E133" s="19">
        <v>193.15</v>
      </c>
      <c r="F133" s="9">
        <f t="shared" si="6"/>
        <v>198.94450000000001</v>
      </c>
      <c r="G133" s="27">
        <f t="shared" si="7"/>
        <v>99.472250000000003</v>
      </c>
      <c r="H133" s="9">
        <f t="shared" si="8"/>
        <v>268.57507500000003</v>
      </c>
    </row>
    <row r="134" spans="1:8" x14ac:dyDescent="0.25">
      <c r="A134" s="16" t="s">
        <v>630</v>
      </c>
      <c r="B134" s="16" t="s">
        <v>358</v>
      </c>
      <c r="C134" s="16" t="s">
        <v>635</v>
      </c>
      <c r="D134" s="16">
        <v>3</v>
      </c>
      <c r="E134" s="17">
        <v>193.15</v>
      </c>
      <c r="F134" s="9">
        <f t="shared" si="6"/>
        <v>198.94450000000001</v>
      </c>
      <c r="G134" s="27">
        <f t="shared" si="7"/>
        <v>99.472250000000003</v>
      </c>
      <c r="H134" s="9">
        <f t="shared" si="8"/>
        <v>268.57507500000003</v>
      </c>
    </row>
    <row r="135" spans="1:8" ht="25.5" x14ac:dyDescent="0.25">
      <c r="A135" s="18" t="s">
        <v>630</v>
      </c>
      <c r="B135" s="18" t="s">
        <v>358</v>
      </c>
      <c r="C135" s="18" t="s">
        <v>636</v>
      </c>
      <c r="D135" s="18">
        <v>3</v>
      </c>
      <c r="E135" s="19">
        <v>193.15</v>
      </c>
      <c r="F135" s="9">
        <f t="shared" si="6"/>
        <v>198.94450000000001</v>
      </c>
      <c r="G135" s="27">
        <f t="shared" si="7"/>
        <v>99.472250000000003</v>
      </c>
      <c r="H135" s="9">
        <f t="shared" si="8"/>
        <v>268.57507500000003</v>
      </c>
    </row>
    <row r="136" spans="1:8" x14ac:dyDescent="0.25">
      <c r="A136" s="16" t="s">
        <v>630</v>
      </c>
      <c r="B136" s="16" t="s">
        <v>358</v>
      </c>
      <c r="C136" s="16" t="s">
        <v>637</v>
      </c>
      <c r="D136" s="16">
        <v>3.5</v>
      </c>
      <c r="E136" s="17">
        <v>193.15</v>
      </c>
      <c r="F136" s="9">
        <f t="shared" si="6"/>
        <v>198.94450000000001</v>
      </c>
      <c r="G136" s="27">
        <f t="shared" si="7"/>
        <v>99.472250000000003</v>
      </c>
      <c r="H136" s="9">
        <f t="shared" si="8"/>
        <v>268.57507500000003</v>
      </c>
    </row>
    <row r="137" spans="1:8" ht="25.5" x14ac:dyDescent="0.25">
      <c r="A137" s="18" t="s">
        <v>630</v>
      </c>
      <c r="B137" s="18" t="s">
        <v>358</v>
      </c>
      <c r="C137" s="18" t="s">
        <v>638</v>
      </c>
      <c r="D137" s="18"/>
      <c r="E137" s="19">
        <v>193.15</v>
      </c>
      <c r="F137" s="9">
        <f t="shared" si="6"/>
        <v>198.94450000000001</v>
      </c>
      <c r="G137" s="27">
        <f t="shared" si="7"/>
        <v>99.472250000000003</v>
      </c>
      <c r="H137" s="9">
        <f t="shared" si="8"/>
        <v>268.57507500000003</v>
      </c>
    </row>
    <row r="138" spans="1:8" x14ac:dyDescent="0.25">
      <c r="A138" s="16" t="s">
        <v>630</v>
      </c>
      <c r="B138" s="16" t="s">
        <v>487</v>
      </c>
      <c r="C138" s="16" t="s">
        <v>639</v>
      </c>
      <c r="D138" s="16">
        <v>3.6</v>
      </c>
      <c r="E138" s="17">
        <v>193.15</v>
      </c>
      <c r="F138" s="9">
        <f t="shared" si="6"/>
        <v>198.94450000000001</v>
      </c>
      <c r="G138" s="27">
        <f t="shared" si="7"/>
        <v>99.472250000000003</v>
      </c>
      <c r="H138" s="9">
        <f t="shared" si="8"/>
        <v>268.57507500000003</v>
      </c>
    </row>
    <row r="139" spans="1:8" x14ac:dyDescent="0.25">
      <c r="A139" s="18" t="s">
        <v>630</v>
      </c>
      <c r="B139" s="18" t="s">
        <v>435</v>
      </c>
      <c r="C139" s="18" t="s">
        <v>640</v>
      </c>
      <c r="D139" s="18" t="s">
        <v>18</v>
      </c>
      <c r="E139" s="19">
        <v>193.15</v>
      </c>
      <c r="F139" s="9">
        <f t="shared" si="6"/>
        <v>198.94450000000001</v>
      </c>
      <c r="G139" s="27">
        <f t="shared" si="7"/>
        <v>99.472250000000003</v>
      </c>
      <c r="H139" s="9">
        <f t="shared" si="8"/>
        <v>268.57507500000003</v>
      </c>
    </row>
    <row r="140" spans="1:8" x14ac:dyDescent="0.25">
      <c r="A140" s="16" t="s">
        <v>630</v>
      </c>
      <c r="B140" s="16" t="s">
        <v>435</v>
      </c>
      <c r="C140" s="16" t="s">
        <v>641</v>
      </c>
      <c r="D140" s="16" t="s">
        <v>18</v>
      </c>
      <c r="E140" s="17">
        <v>193.15</v>
      </c>
      <c r="F140" s="9">
        <f t="shared" si="6"/>
        <v>198.94450000000001</v>
      </c>
      <c r="G140" s="27">
        <f t="shared" si="7"/>
        <v>99.472250000000003</v>
      </c>
      <c r="H140" s="9">
        <f t="shared" si="8"/>
        <v>268.57507500000003</v>
      </c>
    </row>
    <row r="141" spans="1:8" ht="25.5" x14ac:dyDescent="0.25">
      <c r="A141" s="18" t="s">
        <v>630</v>
      </c>
      <c r="B141" s="18" t="s">
        <v>381</v>
      </c>
      <c r="C141" s="18" t="s">
        <v>642</v>
      </c>
      <c r="D141" s="18">
        <v>3</v>
      </c>
      <c r="E141" s="19">
        <v>193.15</v>
      </c>
      <c r="F141" s="9">
        <f t="shared" si="6"/>
        <v>198.94450000000001</v>
      </c>
      <c r="G141" s="27">
        <f t="shared" si="7"/>
        <v>99.472250000000003</v>
      </c>
      <c r="H141" s="9">
        <f t="shared" si="8"/>
        <v>268.57507500000003</v>
      </c>
    </row>
    <row r="142" spans="1:8" x14ac:dyDescent="0.25">
      <c r="A142" s="16" t="s">
        <v>630</v>
      </c>
      <c r="B142" s="16" t="s">
        <v>390</v>
      </c>
      <c r="C142" s="16" t="s">
        <v>643</v>
      </c>
      <c r="D142" s="16">
        <v>3</v>
      </c>
      <c r="E142" s="17">
        <v>193.15</v>
      </c>
      <c r="F142" s="9">
        <f t="shared" si="6"/>
        <v>198.94450000000001</v>
      </c>
      <c r="G142" s="27">
        <f t="shared" si="7"/>
        <v>99.472250000000003</v>
      </c>
      <c r="H142" s="9">
        <f t="shared" si="8"/>
        <v>268.57507500000003</v>
      </c>
    </row>
    <row r="143" spans="1:8" ht="25.5" x14ac:dyDescent="0.25">
      <c r="A143" s="18" t="s">
        <v>630</v>
      </c>
      <c r="B143" s="18" t="s">
        <v>644</v>
      </c>
      <c r="C143" s="18" t="s">
        <v>645</v>
      </c>
      <c r="D143" s="18" t="s">
        <v>646</v>
      </c>
      <c r="E143" s="19">
        <v>193.15</v>
      </c>
      <c r="F143" s="9">
        <f t="shared" si="6"/>
        <v>198.94450000000001</v>
      </c>
      <c r="G143" s="27">
        <f t="shared" si="7"/>
        <v>99.472250000000003</v>
      </c>
      <c r="H143" s="9">
        <f t="shared" si="8"/>
        <v>268.57507500000003</v>
      </c>
    </row>
    <row r="144" spans="1:8" ht="38.25" x14ac:dyDescent="0.25">
      <c r="A144" s="16" t="s">
        <v>630</v>
      </c>
      <c r="B144" s="16" t="s">
        <v>306</v>
      </c>
      <c r="C144" s="16" t="s">
        <v>647</v>
      </c>
      <c r="D144" s="16">
        <v>2.1</v>
      </c>
      <c r="E144" s="17">
        <v>193.15</v>
      </c>
      <c r="F144" s="9">
        <f t="shared" si="6"/>
        <v>198.94450000000001</v>
      </c>
      <c r="G144" s="27">
        <f t="shared" si="7"/>
        <v>99.472250000000003</v>
      </c>
      <c r="H144" s="9">
        <f t="shared" si="8"/>
        <v>268.57507500000003</v>
      </c>
    </row>
    <row r="145" spans="1:8" ht="25.5" x14ac:dyDescent="0.25">
      <c r="A145" s="18" t="s">
        <v>630</v>
      </c>
      <c r="B145" s="18" t="s">
        <v>306</v>
      </c>
      <c r="C145" s="18" t="s">
        <v>648</v>
      </c>
      <c r="D145" s="18" t="s">
        <v>18</v>
      </c>
      <c r="E145" s="19">
        <v>193.15</v>
      </c>
      <c r="F145" s="9">
        <f t="shared" si="6"/>
        <v>198.94450000000001</v>
      </c>
      <c r="G145" s="27">
        <f t="shared" si="7"/>
        <v>99.472250000000003</v>
      </c>
      <c r="H145" s="9">
        <f t="shared" si="8"/>
        <v>268.57507500000003</v>
      </c>
    </row>
    <row r="146" spans="1:8" x14ac:dyDescent="0.25">
      <c r="A146" s="16" t="s">
        <v>630</v>
      </c>
      <c r="B146" s="16" t="s">
        <v>306</v>
      </c>
      <c r="C146" s="16" t="s">
        <v>649</v>
      </c>
      <c r="D146" s="16" t="s">
        <v>18</v>
      </c>
      <c r="E146" s="17">
        <v>193.15</v>
      </c>
      <c r="F146" s="9">
        <f t="shared" si="6"/>
        <v>198.94450000000001</v>
      </c>
      <c r="G146" s="27">
        <f t="shared" si="7"/>
        <v>99.472250000000003</v>
      </c>
      <c r="H146" s="9">
        <f t="shared" si="8"/>
        <v>268.57507500000003</v>
      </c>
    </row>
    <row r="147" spans="1:8" ht="25.5" x14ac:dyDescent="0.25">
      <c r="A147" s="18" t="s">
        <v>630</v>
      </c>
      <c r="B147" s="18" t="s">
        <v>306</v>
      </c>
      <c r="C147" s="18" t="s">
        <v>650</v>
      </c>
      <c r="D147" s="18">
        <v>3.5</v>
      </c>
      <c r="E147" s="19">
        <v>193.15</v>
      </c>
      <c r="F147" s="9">
        <f t="shared" si="6"/>
        <v>198.94450000000001</v>
      </c>
      <c r="G147" s="27">
        <f t="shared" si="7"/>
        <v>99.472250000000003</v>
      </c>
      <c r="H147" s="9">
        <f t="shared" si="8"/>
        <v>268.57507500000003</v>
      </c>
    </row>
    <row r="148" spans="1:8" x14ac:dyDescent="0.25">
      <c r="A148" s="16" t="s">
        <v>630</v>
      </c>
      <c r="B148" s="16" t="s">
        <v>467</v>
      </c>
      <c r="C148" s="16" t="s">
        <v>651</v>
      </c>
      <c r="D148" s="16" t="s">
        <v>18</v>
      </c>
      <c r="E148" s="17">
        <v>193.15</v>
      </c>
      <c r="F148" s="9">
        <f t="shared" si="6"/>
        <v>198.94450000000001</v>
      </c>
      <c r="G148" s="27">
        <f t="shared" si="7"/>
        <v>99.472250000000003</v>
      </c>
      <c r="H148" s="9">
        <f t="shared" si="8"/>
        <v>268.57507500000003</v>
      </c>
    </row>
    <row r="149" spans="1:8" x14ac:dyDescent="0.25">
      <c r="A149" s="18" t="s">
        <v>652</v>
      </c>
      <c r="B149" s="18" t="s">
        <v>336</v>
      </c>
      <c r="C149" s="18" t="s">
        <v>653</v>
      </c>
      <c r="D149" s="18">
        <v>4.2</v>
      </c>
      <c r="E149" s="19">
        <v>220.73</v>
      </c>
      <c r="F149" s="9">
        <f t="shared" si="6"/>
        <v>227.3519</v>
      </c>
      <c r="G149" s="27">
        <f t="shared" si="7"/>
        <v>113.67595</v>
      </c>
      <c r="H149" s="9">
        <f t="shared" si="8"/>
        <v>306.92506500000002</v>
      </c>
    </row>
    <row r="150" spans="1:8" ht="38.25" x14ac:dyDescent="0.25">
      <c r="A150" s="16" t="s">
        <v>652</v>
      </c>
      <c r="B150" s="16" t="s">
        <v>336</v>
      </c>
      <c r="C150" s="16" t="s">
        <v>654</v>
      </c>
      <c r="D150" s="16">
        <v>3</v>
      </c>
      <c r="E150" s="17">
        <v>220.73</v>
      </c>
      <c r="F150" s="9">
        <f t="shared" si="6"/>
        <v>227.3519</v>
      </c>
      <c r="G150" s="27">
        <f t="shared" si="7"/>
        <v>113.67595</v>
      </c>
      <c r="H150" s="9">
        <f t="shared" si="8"/>
        <v>306.92506500000002</v>
      </c>
    </row>
    <row r="151" spans="1:8" ht="25.5" x14ac:dyDescent="0.25">
      <c r="A151" s="18" t="s">
        <v>652</v>
      </c>
      <c r="B151" s="18" t="s">
        <v>336</v>
      </c>
      <c r="C151" s="18" t="s">
        <v>655</v>
      </c>
      <c r="D151" s="18">
        <v>3</v>
      </c>
      <c r="E151" s="19">
        <v>220.73</v>
      </c>
      <c r="F151" s="9">
        <f t="shared" si="6"/>
        <v>227.3519</v>
      </c>
      <c r="G151" s="27">
        <f t="shared" si="7"/>
        <v>113.67595</v>
      </c>
      <c r="H151" s="9">
        <f t="shared" si="8"/>
        <v>306.92506500000002</v>
      </c>
    </row>
    <row r="152" spans="1:8" x14ac:dyDescent="0.25">
      <c r="A152" s="16" t="s">
        <v>652</v>
      </c>
      <c r="B152" s="16" t="s">
        <v>336</v>
      </c>
      <c r="C152" s="16" t="s">
        <v>656</v>
      </c>
      <c r="D152" s="16">
        <v>3</v>
      </c>
      <c r="E152" s="17">
        <v>220.73</v>
      </c>
      <c r="F152" s="9">
        <f t="shared" si="6"/>
        <v>227.3519</v>
      </c>
      <c r="G152" s="27">
        <f t="shared" si="7"/>
        <v>113.67595</v>
      </c>
      <c r="H152" s="9">
        <f t="shared" si="8"/>
        <v>306.92506500000002</v>
      </c>
    </row>
    <row r="153" spans="1:8" x14ac:dyDescent="0.25">
      <c r="A153" s="18" t="s">
        <v>652</v>
      </c>
      <c r="B153" s="18" t="s">
        <v>358</v>
      </c>
      <c r="C153" s="18" t="s">
        <v>657</v>
      </c>
      <c r="D153" s="18">
        <v>4</v>
      </c>
      <c r="E153" s="19">
        <v>220.73</v>
      </c>
      <c r="F153" s="9">
        <f t="shared" si="6"/>
        <v>227.3519</v>
      </c>
      <c r="G153" s="27">
        <f t="shared" si="7"/>
        <v>113.67595</v>
      </c>
      <c r="H153" s="9">
        <f t="shared" si="8"/>
        <v>306.92506500000002</v>
      </c>
    </row>
    <row r="154" spans="1:8" x14ac:dyDescent="0.25">
      <c r="A154" s="16" t="s">
        <v>652</v>
      </c>
      <c r="B154" s="16" t="s">
        <v>358</v>
      </c>
      <c r="C154" s="16" t="s">
        <v>658</v>
      </c>
      <c r="D154" s="16">
        <v>5</v>
      </c>
      <c r="E154" s="17">
        <v>220.73</v>
      </c>
      <c r="F154" s="9">
        <f t="shared" si="6"/>
        <v>227.3519</v>
      </c>
      <c r="G154" s="27">
        <f t="shared" si="7"/>
        <v>113.67595</v>
      </c>
      <c r="H154" s="9">
        <f t="shared" si="8"/>
        <v>306.92506500000002</v>
      </c>
    </row>
    <row r="155" spans="1:8" x14ac:dyDescent="0.25">
      <c r="A155" s="18" t="s">
        <v>652</v>
      </c>
      <c r="B155" s="18" t="s">
        <v>358</v>
      </c>
      <c r="C155" s="18" t="s">
        <v>659</v>
      </c>
      <c r="D155" s="18">
        <v>3</v>
      </c>
      <c r="E155" s="19">
        <v>220.73</v>
      </c>
      <c r="F155" s="9">
        <f t="shared" si="6"/>
        <v>227.3519</v>
      </c>
      <c r="G155" s="27">
        <f t="shared" si="7"/>
        <v>113.67595</v>
      </c>
      <c r="H155" s="9">
        <f t="shared" si="8"/>
        <v>306.92506500000002</v>
      </c>
    </row>
    <row r="156" spans="1:8" x14ac:dyDescent="0.25">
      <c r="A156" s="16" t="s">
        <v>652</v>
      </c>
      <c r="B156" s="16" t="s">
        <v>381</v>
      </c>
      <c r="C156" s="16" t="s">
        <v>660</v>
      </c>
      <c r="D156" s="16">
        <v>4.2</v>
      </c>
      <c r="E156" s="17">
        <v>220.73</v>
      </c>
      <c r="F156" s="9">
        <f t="shared" si="6"/>
        <v>227.3519</v>
      </c>
      <c r="G156" s="27">
        <f t="shared" si="7"/>
        <v>113.67595</v>
      </c>
      <c r="H156" s="9">
        <f t="shared" si="8"/>
        <v>306.92506500000002</v>
      </c>
    </row>
    <row r="157" spans="1:8" x14ac:dyDescent="0.25">
      <c r="A157" s="18" t="s">
        <v>652</v>
      </c>
      <c r="B157" s="18" t="s">
        <v>381</v>
      </c>
      <c r="C157" s="18" t="s">
        <v>661</v>
      </c>
      <c r="D157" s="18">
        <v>2.7</v>
      </c>
      <c r="E157" s="19">
        <v>220.73</v>
      </c>
      <c r="F157" s="9">
        <f t="shared" si="6"/>
        <v>227.3519</v>
      </c>
      <c r="G157" s="27">
        <f t="shared" si="7"/>
        <v>113.67595</v>
      </c>
      <c r="H157" s="9">
        <f t="shared" si="8"/>
        <v>306.92506500000002</v>
      </c>
    </row>
    <row r="158" spans="1:8" x14ac:dyDescent="0.25">
      <c r="A158" s="16" t="s">
        <v>652</v>
      </c>
      <c r="B158" s="16" t="s">
        <v>381</v>
      </c>
      <c r="C158" s="16" t="s">
        <v>662</v>
      </c>
      <c r="D158" s="16">
        <v>3</v>
      </c>
      <c r="E158" s="17">
        <v>220.73</v>
      </c>
      <c r="F158" s="9">
        <f t="shared" si="6"/>
        <v>227.3519</v>
      </c>
      <c r="G158" s="27">
        <f t="shared" si="7"/>
        <v>113.67595</v>
      </c>
      <c r="H158" s="9">
        <f t="shared" si="8"/>
        <v>306.92506500000002</v>
      </c>
    </row>
    <row r="159" spans="1:8" ht="25.5" x14ac:dyDescent="0.25">
      <c r="A159" s="18" t="s">
        <v>652</v>
      </c>
      <c r="B159" s="18" t="s">
        <v>390</v>
      </c>
      <c r="C159" s="18" t="s">
        <v>663</v>
      </c>
      <c r="D159" s="18">
        <v>3.5</v>
      </c>
      <c r="E159" s="19">
        <v>220.73</v>
      </c>
      <c r="F159" s="9">
        <f t="shared" si="6"/>
        <v>227.3519</v>
      </c>
      <c r="G159" s="27">
        <f t="shared" si="7"/>
        <v>113.67595</v>
      </c>
      <c r="H159" s="9">
        <f t="shared" si="8"/>
        <v>306.92506500000002</v>
      </c>
    </row>
    <row r="160" spans="1:8" ht="38.25" x14ac:dyDescent="0.25">
      <c r="A160" s="16" t="s">
        <v>652</v>
      </c>
      <c r="B160" s="16" t="s">
        <v>306</v>
      </c>
      <c r="C160" s="16" t="s">
        <v>664</v>
      </c>
      <c r="D160" s="16">
        <v>5</v>
      </c>
      <c r="E160" s="17">
        <v>220.73</v>
      </c>
      <c r="F160" s="9">
        <f t="shared" si="6"/>
        <v>227.3519</v>
      </c>
      <c r="G160" s="27">
        <f t="shared" si="7"/>
        <v>113.67595</v>
      </c>
      <c r="H160" s="9">
        <f t="shared" si="8"/>
        <v>306.92506500000002</v>
      </c>
    </row>
    <row r="161" spans="1:8" ht="25.5" x14ac:dyDescent="0.25">
      <c r="A161" s="18" t="s">
        <v>652</v>
      </c>
      <c r="B161" s="18" t="s">
        <v>306</v>
      </c>
      <c r="C161" s="18" t="s">
        <v>665</v>
      </c>
      <c r="D161" s="18" t="s">
        <v>18</v>
      </c>
      <c r="E161" s="19">
        <v>220.73</v>
      </c>
      <c r="F161" s="9">
        <f t="shared" si="6"/>
        <v>227.3519</v>
      </c>
      <c r="G161" s="27">
        <f t="shared" si="7"/>
        <v>113.67595</v>
      </c>
      <c r="H161" s="9">
        <f t="shared" si="8"/>
        <v>306.92506500000002</v>
      </c>
    </row>
    <row r="162" spans="1:8" ht="25.5" x14ac:dyDescent="0.25">
      <c r="A162" s="16" t="s">
        <v>652</v>
      </c>
      <c r="B162" s="16" t="s">
        <v>306</v>
      </c>
      <c r="C162" s="16" t="s">
        <v>666</v>
      </c>
      <c r="D162" s="16">
        <v>2.8</v>
      </c>
      <c r="E162" s="17">
        <v>220.73</v>
      </c>
      <c r="F162" s="9">
        <f t="shared" si="6"/>
        <v>227.3519</v>
      </c>
      <c r="G162" s="27">
        <f t="shared" si="7"/>
        <v>113.67595</v>
      </c>
      <c r="H162" s="9">
        <f t="shared" si="8"/>
        <v>306.92506500000002</v>
      </c>
    </row>
    <row r="163" spans="1:8" x14ac:dyDescent="0.25">
      <c r="A163" s="18" t="s">
        <v>652</v>
      </c>
      <c r="B163" s="18" t="s">
        <v>467</v>
      </c>
      <c r="C163" s="18" t="s">
        <v>667</v>
      </c>
      <c r="D163" s="18" t="s">
        <v>18</v>
      </c>
      <c r="E163" s="19">
        <v>220.73</v>
      </c>
      <c r="F163" s="9">
        <f t="shared" si="6"/>
        <v>227.3519</v>
      </c>
      <c r="G163" s="27">
        <f t="shared" si="7"/>
        <v>113.67595</v>
      </c>
      <c r="H163" s="9">
        <f t="shared" si="8"/>
        <v>306.92506500000002</v>
      </c>
    </row>
    <row r="164" spans="1:8" ht="25.5" x14ac:dyDescent="0.25">
      <c r="A164" s="16" t="s">
        <v>652</v>
      </c>
      <c r="B164" s="16" t="s">
        <v>25</v>
      </c>
      <c r="C164" s="16" t="s">
        <v>668</v>
      </c>
      <c r="D164" s="16" t="s">
        <v>18</v>
      </c>
      <c r="E164" s="17">
        <v>220.73</v>
      </c>
      <c r="F164" s="9">
        <f t="shared" si="6"/>
        <v>227.3519</v>
      </c>
      <c r="G164" s="27">
        <f t="shared" si="7"/>
        <v>113.67595</v>
      </c>
      <c r="H164" s="9">
        <f t="shared" si="8"/>
        <v>306.92506500000002</v>
      </c>
    </row>
    <row r="165" spans="1:8" x14ac:dyDescent="0.25">
      <c r="A165" s="18" t="s">
        <v>669</v>
      </c>
      <c r="B165" s="18" t="s">
        <v>336</v>
      </c>
      <c r="C165" s="18" t="s">
        <v>670</v>
      </c>
      <c r="D165" s="18">
        <v>3.7</v>
      </c>
      <c r="E165" s="19">
        <v>253.86</v>
      </c>
      <c r="F165" s="9">
        <f t="shared" si="6"/>
        <v>261.47579999999999</v>
      </c>
      <c r="G165" s="27">
        <f t="shared" si="7"/>
        <v>130.7379</v>
      </c>
      <c r="H165" s="9">
        <f t="shared" si="8"/>
        <v>352.99233000000004</v>
      </c>
    </row>
    <row r="166" spans="1:8" x14ac:dyDescent="0.25">
      <c r="A166" s="16" t="s">
        <v>669</v>
      </c>
      <c r="B166" s="16" t="s">
        <v>336</v>
      </c>
      <c r="C166" s="16" t="s">
        <v>671</v>
      </c>
      <c r="D166" s="16">
        <v>4.2</v>
      </c>
      <c r="E166" s="17">
        <v>253.86</v>
      </c>
      <c r="F166" s="9">
        <f t="shared" si="6"/>
        <v>261.47579999999999</v>
      </c>
      <c r="G166" s="27">
        <f t="shared" si="7"/>
        <v>130.7379</v>
      </c>
      <c r="H166" s="9">
        <f t="shared" si="8"/>
        <v>352.99233000000004</v>
      </c>
    </row>
    <row r="167" spans="1:8" x14ac:dyDescent="0.25">
      <c r="A167" s="18" t="s">
        <v>669</v>
      </c>
      <c r="B167" s="18" t="s">
        <v>336</v>
      </c>
      <c r="C167" s="18" t="s">
        <v>672</v>
      </c>
      <c r="D167" s="18" t="s">
        <v>18</v>
      </c>
      <c r="E167" s="19">
        <v>253.86</v>
      </c>
      <c r="F167" s="9">
        <f t="shared" si="6"/>
        <v>261.47579999999999</v>
      </c>
      <c r="G167" s="27">
        <f t="shared" si="7"/>
        <v>130.7379</v>
      </c>
      <c r="H167" s="9">
        <f t="shared" si="8"/>
        <v>352.99233000000004</v>
      </c>
    </row>
    <row r="168" spans="1:8" ht="25.5" x14ac:dyDescent="0.25">
      <c r="A168" s="16" t="s">
        <v>669</v>
      </c>
      <c r="B168" s="16" t="s">
        <v>358</v>
      </c>
      <c r="C168" s="16" t="s">
        <v>673</v>
      </c>
      <c r="D168" s="16">
        <v>3.5</v>
      </c>
      <c r="E168" s="17">
        <v>253.86</v>
      </c>
      <c r="F168" s="9">
        <f t="shared" si="6"/>
        <v>261.47579999999999</v>
      </c>
      <c r="G168" s="27">
        <f t="shared" si="7"/>
        <v>130.7379</v>
      </c>
      <c r="H168" s="9">
        <f t="shared" si="8"/>
        <v>352.99233000000004</v>
      </c>
    </row>
    <row r="169" spans="1:8" x14ac:dyDescent="0.25">
      <c r="A169" s="18" t="s">
        <v>669</v>
      </c>
      <c r="B169" s="18" t="s">
        <v>381</v>
      </c>
      <c r="C169" s="18" t="s">
        <v>674</v>
      </c>
      <c r="D169" s="18">
        <v>5</v>
      </c>
      <c r="E169" s="19">
        <v>253.86</v>
      </c>
      <c r="F169" s="9">
        <f t="shared" si="6"/>
        <v>261.47579999999999</v>
      </c>
      <c r="G169" s="27">
        <f t="shared" si="7"/>
        <v>130.7379</v>
      </c>
      <c r="H169" s="9">
        <f t="shared" si="8"/>
        <v>352.99233000000004</v>
      </c>
    </row>
    <row r="170" spans="1:8" ht="25.5" x14ac:dyDescent="0.25">
      <c r="A170" s="16" t="s">
        <v>669</v>
      </c>
      <c r="B170" s="16" t="s">
        <v>381</v>
      </c>
      <c r="C170" s="16" t="s">
        <v>675</v>
      </c>
      <c r="D170" s="16">
        <v>5</v>
      </c>
      <c r="E170" s="17">
        <v>253.86</v>
      </c>
      <c r="F170" s="9">
        <f t="shared" si="6"/>
        <v>261.47579999999999</v>
      </c>
      <c r="G170" s="27">
        <f t="shared" si="7"/>
        <v>130.7379</v>
      </c>
      <c r="H170" s="9">
        <f t="shared" si="8"/>
        <v>352.99233000000004</v>
      </c>
    </row>
    <row r="171" spans="1:8" ht="25.5" x14ac:dyDescent="0.25">
      <c r="A171" s="18" t="s">
        <v>669</v>
      </c>
      <c r="B171" s="18" t="s">
        <v>390</v>
      </c>
      <c r="C171" s="18" t="s">
        <v>676</v>
      </c>
      <c r="D171" s="18">
        <v>5</v>
      </c>
      <c r="E171" s="19">
        <v>253.86</v>
      </c>
      <c r="F171" s="9">
        <f t="shared" si="6"/>
        <v>261.47579999999999</v>
      </c>
      <c r="G171" s="27">
        <f t="shared" si="7"/>
        <v>130.7379</v>
      </c>
      <c r="H171" s="9">
        <f t="shared" si="8"/>
        <v>352.99233000000004</v>
      </c>
    </row>
    <row r="172" spans="1:8" x14ac:dyDescent="0.25">
      <c r="A172" s="16" t="s">
        <v>669</v>
      </c>
      <c r="B172" s="16" t="s">
        <v>390</v>
      </c>
      <c r="C172" s="16" t="s">
        <v>677</v>
      </c>
      <c r="D172" s="16" t="s">
        <v>18</v>
      </c>
      <c r="E172" s="17">
        <v>253.86</v>
      </c>
      <c r="F172" s="9">
        <f t="shared" si="6"/>
        <v>261.47579999999999</v>
      </c>
      <c r="G172" s="27">
        <f t="shared" si="7"/>
        <v>130.7379</v>
      </c>
      <c r="H172" s="9">
        <f t="shared" si="8"/>
        <v>352.99233000000004</v>
      </c>
    </row>
    <row r="173" spans="1:8" x14ac:dyDescent="0.25">
      <c r="A173" s="18" t="s">
        <v>669</v>
      </c>
      <c r="B173" s="18" t="s">
        <v>390</v>
      </c>
      <c r="C173" s="18" t="s">
        <v>678</v>
      </c>
      <c r="D173" s="18">
        <v>4.3</v>
      </c>
      <c r="E173" s="19">
        <v>253.86</v>
      </c>
      <c r="F173" s="9">
        <f t="shared" si="6"/>
        <v>261.47579999999999</v>
      </c>
      <c r="G173" s="27">
        <f t="shared" si="7"/>
        <v>130.7379</v>
      </c>
      <c r="H173" s="9">
        <f t="shared" si="8"/>
        <v>352.99233000000004</v>
      </c>
    </row>
    <row r="174" spans="1:8" ht="25.5" x14ac:dyDescent="0.25">
      <c r="A174" s="16" t="s">
        <v>669</v>
      </c>
      <c r="B174" s="16" t="s">
        <v>306</v>
      </c>
      <c r="C174" s="16" t="s">
        <v>679</v>
      </c>
      <c r="D174" s="16" t="s">
        <v>18</v>
      </c>
      <c r="E174" s="17">
        <v>253.86</v>
      </c>
      <c r="F174" s="9">
        <f t="shared" si="6"/>
        <v>261.47579999999999</v>
      </c>
      <c r="G174" s="27">
        <f t="shared" si="7"/>
        <v>130.7379</v>
      </c>
      <c r="H174" s="9">
        <f t="shared" si="8"/>
        <v>352.99233000000004</v>
      </c>
    </row>
    <row r="175" spans="1:8" x14ac:dyDescent="0.25">
      <c r="A175" s="18" t="s">
        <v>669</v>
      </c>
      <c r="B175" s="18" t="s">
        <v>306</v>
      </c>
      <c r="C175" s="18" t="s">
        <v>680</v>
      </c>
      <c r="D175" s="18" t="s">
        <v>18</v>
      </c>
      <c r="E175" s="19">
        <v>253.86</v>
      </c>
      <c r="F175" s="9">
        <f t="shared" si="6"/>
        <v>261.47579999999999</v>
      </c>
      <c r="G175" s="27">
        <f t="shared" si="7"/>
        <v>130.7379</v>
      </c>
      <c r="H175" s="9">
        <f t="shared" si="8"/>
        <v>352.99233000000004</v>
      </c>
    </row>
    <row r="176" spans="1:8" ht="38.25" x14ac:dyDescent="0.25">
      <c r="A176" s="16" t="s">
        <v>669</v>
      </c>
      <c r="B176" s="16" t="s">
        <v>306</v>
      </c>
      <c r="C176" s="16" t="s">
        <v>681</v>
      </c>
      <c r="D176" s="16" t="s">
        <v>18</v>
      </c>
      <c r="E176" s="17">
        <v>253.86</v>
      </c>
      <c r="F176" s="9">
        <f t="shared" si="6"/>
        <v>261.47579999999999</v>
      </c>
      <c r="G176" s="27">
        <f t="shared" si="7"/>
        <v>130.7379</v>
      </c>
      <c r="H176" s="9">
        <f t="shared" si="8"/>
        <v>352.99233000000004</v>
      </c>
    </row>
    <row r="177" spans="1:8" x14ac:dyDescent="0.25">
      <c r="A177" s="18" t="s">
        <v>669</v>
      </c>
      <c r="B177" s="18" t="s">
        <v>306</v>
      </c>
      <c r="C177" s="18" t="s">
        <v>682</v>
      </c>
      <c r="D177" s="18" t="s">
        <v>18</v>
      </c>
      <c r="E177" s="19">
        <v>253.86</v>
      </c>
      <c r="F177" s="9">
        <f t="shared" si="6"/>
        <v>261.47579999999999</v>
      </c>
      <c r="G177" s="27">
        <f t="shared" si="7"/>
        <v>130.7379</v>
      </c>
      <c r="H177" s="9">
        <f t="shared" si="8"/>
        <v>352.99233000000004</v>
      </c>
    </row>
    <row r="178" spans="1:8" ht="25.5" x14ac:dyDescent="0.25">
      <c r="A178" s="16" t="s">
        <v>669</v>
      </c>
      <c r="B178" s="16" t="s">
        <v>393</v>
      </c>
      <c r="C178" s="16" t="s">
        <v>683</v>
      </c>
      <c r="D178" s="16">
        <v>3</v>
      </c>
      <c r="E178" s="17">
        <v>253.86</v>
      </c>
      <c r="F178" s="9">
        <f t="shared" si="6"/>
        <v>261.47579999999999</v>
      </c>
      <c r="G178" s="27">
        <f t="shared" si="7"/>
        <v>130.7379</v>
      </c>
      <c r="H178" s="9">
        <f t="shared" si="8"/>
        <v>352.99233000000004</v>
      </c>
    </row>
    <row r="179" spans="1:8" x14ac:dyDescent="0.25">
      <c r="A179" s="18" t="s">
        <v>669</v>
      </c>
      <c r="B179" s="18" t="s">
        <v>467</v>
      </c>
      <c r="C179" s="18" t="s">
        <v>684</v>
      </c>
      <c r="D179" s="18" t="s">
        <v>18</v>
      </c>
      <c r="E179" s="19">
        <v>253.86</v>
      </c>
      <c r="F179" s="9">
        <f t="shared" si="6"/>
        <v>261.47579999999999</v>
      </c>
      <c r="G179" s="27">
        <f t="shared" si="7"/>
        <v>130.7379</v>
      </c>
      <c r="H179" s="9">
        <f t="shared" si="8"/>
        <v>352.99233000000004</v>
      </c>
    </row>
    <row r="180" spans="1:8" x14ac:dyDescent="0.25">
      <c r="A180" s="16" t="s">
        <v>669</v>
      </c>
      <c r="B180" s="16" t="s">
        <v>467</v>
      </c>
      <c r="C180" s="16" t="s">
        <v>685</v>
      </c>
      <c r="D180" s="16"/>
      <c r="E180" s="17">
        <v>253.86</v>
      </c>
      <c r="F180" s="9">
        <f t="shared" si="6"/>
        <v>261.47579999999999</v>
      </c>
      <c r="G180" s="27">
        <f t="shared" si="7"/>
        <v>130.7379</v>
      </c>
      <c r="H180" s="9">
        <f t="shared" si="8"/>
        <v>352.99233000000004</v>
      </c>
    </row>
    <row r="181" spans="1:8" x14ac:dyDescent="0.25">
      <c r="A181" s="18" t="s">
        <v>686</v>
      </c>
      <c r="B181" s="18" t="s">
        <v>336</v>
      </c>
      <c r="C181" s="18" t="s">
        <v>687</v>
      </c>
      <c r="D181" s="18">
        <v>6</v>
      </c>
      <c r="E181" s="19">
        <v>312.37</v>
      </c>
      <c r="F181" s="9">
        <f t="shared" si="6"/>
        <v>321.74110000000002</v>
      </c>
      <c r="G181" s="27">
        <f t="shared" si="7"/>
        <v>160.87055000000001</v>
      </c>
      <c r="H181" s="9">
        <f t="shared" si="8"/>
        <v>434.35048500000005</v>
      </c>
    </row>
    <row r="182" spans="1:8" ht="25.5" x14ac:dyDescent="0.25">
      <c r="A182" s="16" t="s">
        <v>686</v>
      </c>
      <c r="B182" s="16" t="s">
        <v>336</v>
      </c>
      <c r="C182" s="16" t="s">
        <v>688</v>
      </c>
      <c r="D182" s="16">
        <v>4</v>
      </c>
      <c r="E182" s="17">
        <v>312.37</v>
      </c>
      <c r="F182" s="9">
        <f t="shared" si="6"/>
        <v>321.74110000000002</v>
      </c>
      <c r="G182" s="27">
        <f t="shared" si="7"/>
        <v>160.87055000000001</v>
      </c>
      <c r="H182" s="9">
        <f t="shared" si="8"/>
        <v>434.35048500000005</v>
      </c>
    </row>
    <row r="183" spans="1:8" ht="38.25" x14ac:dyDescent="0.25">
      <c r="A183" s="18" t="s">
        <v>686</v>
      </c>
      <c r="B183" s="18" t="s">
        <v>336</v>
      </c>
      <c r="C183" s="18" t="s">
        <v>689</v>
      </c>
      <c r="D183" s="18"/>
      <c r="E183" s="19">
        <v>312.37</v>
      </c>
      <c r="F183" s="9">
        <f t="shared" si="6"/>
        <v>321.74110000000002</v>
      </c>
      <c r="G183" s="27">
        <f t="shared" si="7"/>
        <v>160.87055000000001</v>
      </c>
      <c r="H183" s="9">
        <f t="shared" si="8"/>
        <v>434.35048500000005</v>
      </c>
    </row>
    <row r="184" spans="1:8" x14ac:dyDescent="0.25">
      <c r="A184" s="16" t="s">
        <v>686</v>
      </c>
      <c r="B184" s="16" t="s">
        <v>358</v>
      </c>
      <c r="C184" s="16" t="s">
        <v>690</v>
      </c>
      <c r="D184" s="16">
        <v>5</v>
      </c>
      <c r="E184" s="17">
        <v>312.37</v>
      </c>
      <c r="F184" s="9">
        <f t="shared" si="6"/>
        <v>321.74110000000002</v>
      </c>
      <c r="G184" s="27">
        <f t="shared" si="7"/>
        <v>160.87055000000001</v>
      </c>
      <c r="H184" s="9">
        <f t="shared" si="8"/>
        <v>434.35048500000005</v>
      </c>
    </row>
    <row r="185" spans="1:8" x14ac:dyDescent="0.25">
      <c r="A185" s="18" t="s">
        <v>686</v>
      </c>
      <c r="B185" s="18" t="s">
        <v>381</v>
      </c>
      <c r="C185" s="18" t="s">
        <v>691</v>
      </c>
      <c r="D185" s="18">
        <v>5</v>
      </c>
      <c r="E185" s="19">
        <v>312.37</v>
      </c>
      <c r="F185" s="9">
        <f t="shared" si="6"/>
        <v>321.74110000000002</v>
      </c>
      <c r="G185" s="27">
        <f t="shared" si="7"/>
        <v>160.87055000000001</v>
      </c>
      <c r="H185" s="9">
        <f t="shared" si="8"/>
        <v>434.35048500000005</v>
      </c>
    </row>
    <row r="186" spans="1:8" ht="25.5" x14ac:dyDescent="0.25">
      <c r="A186" s="16" t="s">
        <v>686</v>
      </c>
      <c r="B186" s="16" t="s">
        <v>644</v>
      </c>
      <c r="C186" s="16" t="s">
        <v>692</v>
      </c>
      <c r="D186" s="16">
        <v>4.2</v>
      </c>
      <c r="E186" s="17">
        <v>312.37</v>
      </c>
      <c r="F186" s="9">
        <f t="shared" si="6"/>
        <v>321.74110000000002</v>
      </c>
      <c r="G186" s="27">
        <f t="shared" si="7"/>
        <v>160.87055000000001</v>
      </c>
      <c r="H186" s="9">
        <f t="shared" si="8"/>
        <v>434.35048500000005</v>
      </c>
    </row>
    <row r="187" spans="1:8" ht="38.25" x14ac:dyDescent="0.25">
      <c r="A187" s="18" t="s">
        <v>686</v>
      </c>
      <c r="B187" s="18" t="s">
        <v>306</v>
      </c>
      <c r="C187" s="18" t="s">
        <v>693</v>
      </c>
      <c r="D187" s="18" t="s">
        <v>18</v>
      </c>
      <c r="E187" s="19">
        <v>312.37</v>
      </c>
      <c r="F187" s="9">
        <f t="shared" si="6"/>
        <v>321.74110000000002</v>
      </c>
      <c r="G187" s="27">
        <f t="shared" si="7"/>
        <v>160.87055000000001</v>
      </c>
      <c r="H187" s="9">
        <f t="shared" si="8"/>
        <v>434.35048500000005</v>
      </c>
    </row>
    <row r="188" spans="1:8" ht="25.5" x14ac:dyDescent="0.25">
      <c r="A188" s="16" t="s">
        <v>686</v>
      </c>
      <c r="B188" s="16" t="s">
        <v>306</v>
      </c>
      <c r="C188" s="16" t="s">
        <v>694</v>
      </c>
      <c r="D188" s="16">
        <v>5</v>
      </c>
      <c r="E188" s="17">
        <v>312.37</v>
      </c>
      <c r="F188" s="9">
        <f t="shared" si="6"/>
        <v>321.74110000000002</v>
      </c>
      <c r="G188" s="27">
        <f t="shared" si="7"/>
        <v>160.87055000000001</v>
      </c>
      <c r="H188" s="9">
        <f t="shared" si="8"/>
        <v>434.35048500000005</v>
      </c>
    </row>
    <row r="189" spans="1:8" ht="25.5" x14ac:dyDescent="0.25">
      <c r="A189" s="18" t="s">
        <v>686</v>
      </c>
      <c r="B189" s="18" t="s">
        <v>393</v>
      </c>
      <c r="C189" s="18" t="s">
        <v>695</v>
      </c>
      <c r="D189" s="18">
        <v>4.8</v>
      </c>
      <c r="E189" s="19">
        <v>312.37</v>
      </c>
      <c r="F189" s="9">
        <f t="shared" si="6"/>
        <v>321.74110000000002</v>
      </c>
      <c r="G189" s="27">
        <f t="shared" si="7"/>
        <v>160.87055000000001</v>
      </c>
      <c r="H189" s="9">
        <f t="shared" si="8"/>
        <v>434.35048500000005</v>
      </c>
    </row>
    <row r="190" spans="1:8" ht="25.5" x14ac:dyDescent="0.25">
      <c r="A190" s="16" t="s">
        <v>686</v>
      </c>
      <c r="B190" s="16" t="s">
        <v>393</v>
      </c>
      <c r="C190" s="16" t="s">
        <v>696</v>
      </c>
      <c r="D190" s="16" t="s">
        <v>18</v>
      </c>
      <c r="E190" s="17">
        <v>312.37</v>
      </c>
      <c r="F190" s="9">
        <f t="shared" si="6"/>
        <v>321.74110000000002</v>
      </c>
      <c r="G190" s="27">
        <f t="shared" si="7"/>
        <v>160.87055000000001</v>
      </c>
      <c r="H190" s="9">
        <f t="shared" si="8"/>
        <v>434.35048500000005</v>
      </c>
    </row>
    <row r="191" spans="1:8" ht="25.5" x14ac:dyDescent="0.25">
      <c r="A191" s="18" t="s">
        <v>697</v>
      </c>
      <c r="B191" s="18" t="s">
        <v>698</v>
      </c>
      <c r="C191" s="18" t="s">
        <v>699</v>
      </c>
      <c r="D191" s="18">
        <v>6</v>
      </c>
      <c r="E191" s="19">
        <v>438.74</v>
      </c>
      <c r="F191" s="9">
        <f t="shared" si="6"/>
        <v>451.90219999999999</v>
      </c>
      <c r="G191" s="27">
        <f t="shared" si="7"/>
        <v>225.9511</v>
      </c>
      <c r="H191" s="9">
        <f t="shared" si="8"/>
        <v>610.06797000000006</v>
      </c>
    </row>
    <row r="192" spans="1:8" ht="25.5" x14ac:dyDescent="0.25">
      <c r="A192" s="16" t="s">
        <v>697</v>
      </c>
      <c r="B192" s="16" t="s">
        <v>698</v>
      </c>
      <c r="C192" s="16" t="s">
        <v>700</v>
      </c>
      <c r="D192" s="16">
        <v>4</v>
      </c>
      <c r="E192" s="17">
        <v>438.74</v>
      </c>
      <c r="F192" s="9">
        <f t="shared" si="6"/>
        <v>451.90219999999999</v>
      </c>
      <c r="G192" s="27">
        <f t="shared" si="7"/>
        <v>225.9511</v>
      </c>
      <c r="H192" s="9">
        <f t="shared" si="8"/>
        <v>610.06797000000006</v>
      </c>
    </row>
    <row r="193" spans="1:8" x14ac:dyDescent="0.25">
      <c r="A193" s="18" t="s">
        <v>697</v>
      </c>
      <c r="B193" s="18" t="s">
        <v>358</v>
      </c>
      <c r="C193" s="18" t="s">
        <v>701</v>
      </c>
      <c r="D193" s="18" t="s">
        <v>18</v>
      </c>
      <c r="E193" s="19">
        <v>438.74</v>
      </c>
      <c r="F193" s="9">
        <f t="shared" si="6"/>
        <v>451.90219999999999</v>
      </c>
      <c r="G193" s="27">
        <f t="shared" si="7"/>
        <v>225.9511</v>
      </c>
      <c r="H193" s="9">
        <f t="shared" si="8"/>
        <v>610.06797000000006</v>
      </c>
    </row>
    <row r="194" spans="1:8" ht="25.5" x14ac:dyDescent="0.25">
      <c r="A194" s="16" t="s">
        <v>697</v>
      </c>
      <c r="B194" s="16" t="s">
        <v>381</v>
      </c>
      <c r="C194" s="16" t="s">
        <v>702</v>
      </c>
      <c r="D194" s="16">
        <v>5</v>
      </c>
      <c r="E194" s="17">
        <v>438.74</v>
      </c>
      <c r="F194" s="9">
        <f t="shared" si="6"/>
        <v>451.90219999999999</v>
      </c>
      <c r="G194" s="27">
        <f t="shared" si="7"/>
        <v>225.9511</v>
      </c>
      <c r="H194" s="9">
        <f t="shared" si="8"/>
        <v>610.06797000000006</v>
      </c>
    </row>
    <row r="195" spans="1:8" ht="25.5" x14ac:dyDescent="0.25">
      <c r="A195" s="18" t="s">
        <v>697</v>
      </c>
      <c r="B195" s="18" t="s">
        <v>306</v>
      </c>
      <c r="C195" s="18" t="s">
        <v>703</v>
      </c>
      <c r="D195" s="18">
        <v>6</v>
      </c>
      <c r="E195" s="19">
        <v>438.74</v>
      </c>
      <c r="F195" s="9">
        <f t="shared" ref="F195:F200" si="9">E195*1.03</f>
        <v>451.90219999999999</v>
      </c>
      <c r="G195" s="27">
        <f t="shared" ref="G195:G200" si="10">F195/2</f>
        <v>225.9511</v>
      </c>
      <c r="H195" s="9">
        <f t="shared" ref="H195:H200" si="11">F195*1.35</f>
        <v>610.06797000000006</v>
      </c>
    </row>
    <row r="196" spans="1:8" ht="38.25" x14ac:dyDescent="0.25">
      <c r="A196" s="16" t="s">
        <v>697</v>
      </c>
      <c r="B196" s="16" t="s">
        <v>306</v>
      </c>
      <c r="C196" s="16" t="s">
        <v>704</v>
      </c>
      <c r="D196" s="16">
        <v>5.5</v>
      </c>
      <c r="E196" s="17">
        <v>438.74</v>
      </c>
      <c r="F196" s="9">
        <f t="shared" si="9"/>
        <v>451.90219999999999</v>
      </c>
      <c r="G196" s="27">
        <f t="shared" si="10"/>
        <v>225.9511</v>
      </c>
      <c r="H196" s="9">
        <f t="shared" si="11"/>
        <v>610.06797000000006</v>
      </c>
    </row>
    <row r="197" spans="1:8" ht="25.5" x14ac:dyDescent="0.25">
      <c r="A197" s="18" t="s">
        <v>697</v>
      </c>
      <c r="B197" s="18" t="s">
        <v>393</v>
      </c>
      <c r="C197" s="18" t="s">
        <v>705</v>
      </c>
      <c r="D197" s="18">
        <v>4.8</v>
      </c>
      <c r="E197" s="19">
        <v>438.74</v>
      </c>
      <c r="F197" s="9">
        <f t="shared" si="9"/>
        <v>451.90219999999999</v>
      </c>
      <c r="G197" s="27">
        <f t="shared" si="10"/>
        <v>225.9511</v>
      </c>
      <c r="H197" s="9">
        <f t="shared" si="11"/>
        <v>610.06797000000006</v>
      </c>
    </row>
    <row r="198" spans="1:8" ht="25.5" x14ac:dyDescent="0.25">
      <c r="A198" s="16" t="s">
        <v>706</v>
      </c>
      <c r="B198" s="16" t="s">
        <v>707</v>
      </c>
      <c r="C198" s="16" t="s">
        <v>708</v>
      </c>
      <c r="D198" s="16">
        <v>6</v>
      </c>
      <c r="E198" s="17">
        <v>656.74</v>
      </c>
      <c r="F198" s="9">
        <f t="shared" si="9"/>
        <v>676.44220000000007</v>
      </c>
      <c r="G198" s="27">
        <f t="shared" si="10"/>
        <v>338.22110000000004</v>
      </c>
      <c r="H198" s="9">
        <f t="shared" si="11"/>
        <v>913.19697000000019</v>
      </c>
    </row>
    <row r="199" spans="1:8" x14ac:dyDescent="0.25">
      <c r="A199" s="18" t="s">
        <v>706</v>
      </c>
      <c r="B199" s="18" t="s">
        <v>698</v>
      </c>
      <c r="C199" s="18" t="s">
        <v>709</v>
      </c>
      <c r="D199" s="18">
        <v>6</v>
      </c>
      <c r="E199" s="19">
        <v>656.74</v>
      </c>
      <c r="F199" s="9">
        <f t="shared" si="9"/>
        <v>676.44220000000007</v>
      </c>
      <c r="G199" s="27">
        <f t="shared" si="10"/>
        <v>338.22110000000004</v>
      </c>
      <c r="H199" s="9">
        <f t="shared" si="11"/>
        <v>913.19697000000019</v>
      </c>
    </row>
    <row r="200" spans="1:8" ht="25.5" x14ac:dyDescent="0.25">
      <c r="A200" s="16" t="s">
        <v>710</v>
      </c>
      <c r="B200" s="16" t="s">
        <v>711</v>
      </c>
      <c r="C200" s="16" t="s">
        <v>712</v>
      </c>
      <c r="D200" s="16">
        <v>6.7</v>
      </c>
      <c r="E200" s="17">
        <v>952.27</v>
      </c>
      <c r="F200" s="9">
        <f t="shared" si="9"/>
        <v>980.83810000000005</v>
      </c>
      <c r="G200" s="27">
        <f t="shared" si="10"/>
        <v>490.41905000000003</v>
      </c>
      <c r="H200" s="9">
        <f t="shared" si="11"/>
        <v>1324.1314350000002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391F-7724-4855-925F-C3B112A978CF}">
  <dimension ref="A1:H211"/>
  <sheetViews>
    <sheetView workbookViewId="0">
      <selection activeCell="M74" sqref="M74"/>
    </sheetView>
  </sheetViews>
  <sheetFormatPr defaultColWidth="8.7109375" defaultRowHeight="30" customHeight="1" x14ac:dyDescent="0.25"/>
  <cols>
    <col min="1" max="1" width="20.42578125" style="20" customWidth="1"/>
    <col min="2" max="2" width="8.140625" style="20" hidden="1" customWidth="1"/>
    <col min="3" max="3" width="30.42578125" style="20" hidden="1" customWidth="1"/>
    <col min="4" max="4" width="7.28515625" style="20" hidden="1" customWidth="1"/>
    <col min="5" max="5" width="7.5703125" style="20" hidden="1" customWidth="1"/>
    <col min="6" max="6" width="20.28515625" style="21" customWidth="1"/>
    <col min="7" max="7" width="14.28515625" style="30" bestFit="1" customWidth="1"/>
    <col min="8" max="8" width="24.42578125" style="21" bestFit="1" customWidth="1"/>
    <col min="9" max="16384" width="8.7109375" style="20"/>
  </cols>
  <sheetData>
    <row r="1" spans="1:8" ht="30" customHeight="1" x14ac:dyDescent="0.25">
      <c r="A1" s="15" t="s">
        <v>973</v>
      </c>
      <c r="B1" s="15" t="s">
        <v>0</v>
      </c>
      <c r="C1" s="15" t="s">
        <v>1</v>
      </c>
      <c r="D1" s="15" t="s">
        <v>2</v>
      </c>
      <c r="E1" s="15" t="s">
        <v>3</v>
      </c>
      <c r="F1" s="7" t="s">
        <v>971</v>
      </c>
      <c r="G1" s="26" t="s">
        <v>1004</v>
      </c>
      <c r="H1" s="7" t="s">
        <v>972</v>
      </c>
    </row>
    <row r="2" spans="1:8" ht="30" customHeight="1" x14ac:dyDescent="0.25">
      <c r="A2" s="16" t="s">
        <v>713</v>
      </c>
      <c r="B2" s="16" t="s">
        <v>124</v>
      </c>
      <c r="C2" s="16" t="s">
        <v>714</v>
      </c>
      <c r="D2" s="16">
        <v>1.4</v>
      </c>
      <c r="E2" s="17">
        <v>84.16</v>
      </c>
      <c r="F2" s="9">
        <f>E2*0.98</f>
        <v>82.476799999999997</v>
      </c>
      <c r="G2" s="27">
        <f>F2/2</f>
        <v>41.238399999999999</v>
      </c>
      <c r="H2" s="25">
        <f>F2*1.35</f>
        <v>111.34368000000001</v>
      </c>
    </row>
    <row r="3" spans="1:8" ht="30" hidden="1" customHeight="1" x14ac:dyDescent="0.25">
      <c r="A3" s="18" t="s">
        <v>713</v>
      </c>
      <c r="B3" s="18" t="s">
        <v>85</v>
      </c>
      <c r="C3" s="18" t="s">
        <v>715</v>
      </c>
      <c r="D3" s="18">
        <v>1.6</v>
      </c>
      <c r="E3" s="19">
        <v>84.16</v>
      </c>
      <c r="F3" s="9">
        <f t="shared" ref="F3:F66" si="0">E3*0.98</f>
        <v>82.476799999999997</v>
      </c>
      <c r="G3" s="27">
        <f t="shared" ref="G3:G66" si="1">F3/2</f>
        <v>41.238399999999999</v>
      </c>
      <c r="H3" s="25">
        <f t="shared" ref="H3:H66" si="2">F3*1.35</f>
        <v>111.34368000000001</v>
      </c>
    </row>
    <row r="4" spans="1:8" ht="30" hidden="1" customHeight="1" x14ac:dyDescent="0.25">
      <c r="A4" s="16" t="s">
        <v>713</v>
      </c>
      <c r="B4" s="16" t="s">
        <v>85</v>
      </c>
      <c r="C4" s="16" t="s">
        <v>716</v>
      </c>
      <c r="D4" s="16">
        <v>1.6</v>
      </c>
      <c r="E4" s="17">
        <v>84.16</v>
      </c>
      <c r="F4" s="9">
        <f t="shared" si="0"/>
        <v>82.476799999999997</v>
      </c>
      <c r="G4" s="27">
        <f t="shared" si="1"/>
        <v>41.238399999999999</v>
      </c>
      <c r="H4" s="25">
        <f t="shared" si="2"/>
        <v>111.34368000000001</v>
      </c>
    </row>
    <row r="5" spans="1:8" ht="30" hidden="1" customHeight="1" x14ac:dyDescent="0.25">
      <c r="A5" s="18" t="s">
        <v>713</v>
      </c>
      <c r="B5" s="18" t="s">
        <v>85</v>
      </c>
      <c r="C5" s="18" t="s">
        <v>717</v>
      </c>
      <c r="D5" s="18">
        <v>1.6</v>
      </c>
      <c r="E5" s="19">
        <v>84.16</v>
      </c>
      <c r="F5" s="9">
        <f t="shared" si="0"/>
        <v>82.476799999999997</v>
      </c>
      <c r="G5" s="27">
        <f t="shared" si="1"/>
        <v>41.238399999999999</v>
      </c>
      <c r="H5" s="25">
        <f t="shared" si="2"/>
        <v>111.34368000000001</v>
      </c>
    </row>
    <row r="6" spans="1:8" ht="30" hidden="1" customHeight="1" x14ac:dyDescent="0.25">
      <c r="A6" s="16" t="s">
        <v>713</v>
      </c>
      <c r="B6" s="16" t="s">
        <v>174</v>
      </c>
      <c r="C6" s="16" t="s">
        <v>718</v>
      </c>
      <c r="D6" s="16">
        <v>1.8</v>
      </c>
      <c r="E6" s="17">
        <v>84.16</v>
      </c>
      <c r="F6" s="9">
        <f t="shared" si="0"/>
        <v>82.476799999999997</v>
      </c>
      <c r="G6" s="27">
        <f t="shared" si="1"/>
        <v>41.238399999999999</v>
      </c>
      <c r="H6" s="25">
        <f t="shared" si="2"/>
        <v>111.34368000000001</v>
      </c>
    </row>
    <row r="7" spans="1:8" ht="30" customHeight="1" x14ac:dyDescent="0.25">
      <c r="A7" s="18" t="s">
        <v>719</v>
      </c>
      <c r="B7" s="18" t="s">
        <v>72</v>
      </c>
      <c r="C7" s="18" t="s">
        <v>720</v>
      </c>
      <c r="D7" s="18">
        <v>1.4</v>
      </c>
      <c r="E7" s="19">
        <v>91.5</v>
      </c>
      <c r="F7" s="9">
        <f t="shared" si="0"/>
        <v>89.67</v>
      </c>
      <c r="G7" s="27">
        <f t="shared" si="1"/>
        <v>44.835000000000001</v>
      </c>
      <c r="H7" s="25">
        <f t="shared" si="2"/>
        <v>121.0545</v>
      </c>
    </row>
    <row r="8" spans="1:8" ht="30" hidden="1" customHeight="1" x14ac:dyDescent="0.25">
      <c r="A8" s="16" t="s">
        <v>719</v>
      </c>
      <c r="B8" s="16" t="s">
        <v>336</v>
      </c>
      <c r="C8" s="16" t="s">
        <v>721</v>
      </c>
      <c r="D8" s="16">
        <v>1.6</v>
      </c>
      <c r="E8" s="17">
        <v>91.5</v>
      </c>
      <c r="F8" s="9">
        <f t="shared" si="0"/>
        <v>89.67</v>
      </c>
      <c r="G8" s="27">
        <f t="shared" si="1"/>
        <v>44.835000000000001</v>
      </c>
      <c r="H8" s="25">
        <f t="shared" si="2"/>
        <v>121.0545</v>
      </c>
    </row>
    <row r="9" spans="1:8" ht="30" hidden="1" customHeight="1" x14ac:dyDescent="0.25">
      <c r="A9" s="18" t="s">
        <v>719</v>
      </c>
      <c r="B9" s="18" t="s">
        <v>33</v>
      </c>
      <c r="C9" s="18" t="s">
        <v>722</v>
      </c>
      <c r="D9" s="18">
        <v>1.6</v>
      </c>
      <c r="E9" s="19">
        <v>91.5</v>
      </c>
      <c r="F9" s="9">
        <f t="shared" si="0"/>
        <v>89.67</v>
      </c>
      <c r="G9" s="27">
        <f t="shared" si="1"/>
        <v>44.835000000000001</v>
      </c>
      <c r="H9" s="25">
        <f t="shared" si="2"/>
        <v>121.0545</v>
      </c>
    </row>
    <row r="10" spans="1:8" ht="30" hidden="1" customHeight="1" x14ac:dyDescent="0.25">
      <c r="A10" s="16" t="s">
        <v>719</v>
      </c>
      <c r="B10" s="16" t="s">
        <v>33</v>
      </c>
      <c r="C10" s="16" t="s">
        <v>723</v>
      </c>
      <c r="D10" s="16">
        <v>2</v>
      </c>
      <c r="E10" s="17">
        <v>91.5</v>
      </c>
      <c r="F10" s="9">
        <f t="shared" si="0"/>
        <v>89.67</v>
      </c>
      <c r="G10" s="27">
        <f t="shared" si="1"/>
        <v>44.835000000000001</v>
      </c>
      <c r="H10" s="25">
        <f t="shared" si="2"/>
        <v>121.0545</v>
      </c>
    </row>
    <row r="11" spans="1:8" ht="30" hidden="1" customHeight="1" x14ac:dyDescent="0.25">
      <c r="A11" s="18" t="s">
        <v>719</v>
      </c>
      <c r="B11" s="18" t="s">
        <v>33</v>
      </c>
      <c r="C11" s="18" t="s">
        <v>724</v>
      </c>
      <c r="D11" s="18">
        <v>2</v>
      </c>
      <c r="E11" s="19">
        <v>91.5</v>
      </c>
      <c r="F11" s="9">
        <f t="shared" si="0"/>
        <v>89.67</v>
      </c>
      <c r="G11" s="27">
        <f t="shared" si="1"/>
        <v>44.835000000000001</v>
      </c>
      <c r="H11" s="25">
        <f t="shared" si="2"/>
        <v>121.0545</v>
      </c>
    </row>
    <row r="12" spans="1:8" ht="30" hidden="1" customHeight="1" x14ac:dyDescent="0.25">
      <c r="A12" s="16" t="s">
        <v>719</v>
      </c>
      <c r="B12" s="16" t="s">
        <v>33</v>
      </c>
      <c r="C12" s="16" t="s">
        <v>725</v>
      </c>
      <c r="D12" s="16">
        <v>2.5</v>
      </c>
      <c r="E12" s="17">
        <v>91.5</v>
      </c>
      <c r="F12" s="9">
        <f t="shared" si="0"/>
        <v>89.67</v>
      </c>
      <c r="G12" s="27">
        <f t="shared" si="1"/>
        <v>44.835000000000001</v>
      </c>
      <c r="H12" s="25">
        <f t="shared" si="2"/>
        <v>121.0545</v>
      </c>
    </row>
    <row r="13" spans="1:8" ht="30" hidden="1" customHeight="1" x14ac:dyDescent="0.25">
      <c r="A13" s="18" t="s">
        <v>719</v>
      </c>
      <c r="B13" s="18" t="s">
        <v>49</v>
      </c>
      <c r="C13" s="18" t="s">
        <v>726</v>
      </c>
      <c r="D13" s="18">
        <v>1.8</v>
      </c>
      <c r="E13" s="19">
        <v>91.5</v>
      </c>
      <c r="F13" s="9">
        <f t="shared" si="0"/>
        <v>89.67</v>
      </c>
      <c r="G13" s="27">
        <f t="shared" si="1"/>
        <v>44.835000000000001</v>
      </c>
      <c r="H13" s="25">
        <f t="shared" si="2"/>
        <v>121.0545</v>
      </c>
    </row>
    <row r="14" spans="1:8" ht="30" hidden="1" customHeight="1" x14ac:dyDescent="0.25">
      <c r="A14" s="16" t="s">
        <v>719</v>
      </c>
      <c r="B14" s="16" t="s">
        <v>35</v>
      </c>
      <c r="C14" s="16" t="s">
        <v>727</v>
      </c>
      <c r="D14" s="16">
        <v>1.6</v>
      </c>
      <c r="E14" s="17">
        <v>91.5</v>
      </c>
      <c r="F14" s="9">
        <f t="shared" si="0"/>
        <v>89.67</v>
      </c>
      <c r="G14" s="27">
        <f t="shared" si="1"/>
        <v>44.835000000000001</v>
      </c>
      <c r="H14" s="25">
        <f t="shared" si="2"/>
        <v>121.0545</v>
      </c>
    </row>
    <row r="15" spans="1:8" ht="30" hidden="1" customHeight="1" x14ac:dyDescent="0.25">
      <c r="A15" s="18" t="s">
        <v>719</v>
      </c>
      <c r="B15" s="18" t="s">
        <v>162</v>
      </c>
      <c r="C15" s="18" t="s">
        <v>728</v>
      </c>
      <c r="D15" s="18">
        <v>1.8</v>
      </c>
      <c r="E15" s="19">
        <v>91.5</v>
      </c>
      <c r="F15" s="9">
        <f t="shared" si="0"/>
        <v>89.67</v>
      </c>
      <c r="G15" s="27">
        <f t="shared" si="1"/>
        <v>44.835000000000001</v>
      </c>
      <c r="H15" s="25">
        <f t="shared" si="2"/>
        <v>121.0545</v>
      </c>
    </row>
    <row r="16" spans="1:8" ht="30" hidden="1" customHeight="1" x14ac:dyDescent="0.25">
      <c r="A16" s="16" t="s">
        <v>719</v>
      </c>
      <c r="B16" s="16" t="s">
        <v>162</v>
      </c>
      <c r="C16" s="16" t="s">
        <v>729</v>
      </c>
      <c r="D16" s="16">
        <v>2</v>
      </c>
      <c r="E16" s="17">
        <v>91.5</v>
      </c>
      <c r="F16" s="9">
        <f t="shared" si="0"/>
        <v>89.67</v>
      </c>
      <c r="G16" s="27">
        <f t="shared" si="1"/>
        <v>44.835000000000001</v>
      </c>
      <c r="H16" s="25">
        <f t="shared" si="2"/>
        <v>121.0545</v>
      </c>
    </row>
    <row r="17" spans="1:8" ht="30" hidden="1" customHeight="1" x14ac:dyDescent="0.25">
      <c r="A17" s="18" t="s">
        <v>719</v>
      </c>
      <c r="B17" s="18" t="s">
        <v>730</v>
      </c>
      <c r="C17" s="18" t="s">
        <v>731</v>
      </c>
      <c r="D17" s="18">
        <v>1.6</v>
      </c>
      <c r="E17" s="19">
        <v>91.5</v>
      </c>
      <c r="F17" s="9">
        <f t="shared" si="0"/>
        <v>89.67</v>
      </c>
      <c r="G17" s="27">
        <f t="shared" si="1"/>
        <v>44.835000000000001</v>
      </c>
      <c r="H17" s="25">
        <f t="shared" si="2"/>
        <v>121.0545</v>
      </c>
    </row>
    <row r="18" spans="1:8" ht="30" hidden="1" customHeight="1" x14ac:dyDescent="0.25">
      <c r="A18" s="16" t="s">
        <v>719</v>
      </c>
      <c r="B18" s="16" t="s">
        <v>730</v>
      </c>
      <c r="C18" s="16" t="s">
        <v>732</v>
      </c>
      <c r="D18" s="16">
        <v>1.6</v>
      </c>
      <c r="E18" s="17">
        <v>91.5</v>
      </c>
      <c r="F18" s="9">
        <f t="shared" si="0"/>
        <v>89.67</v>
      </c>
      <c r="G18" s="27">
        <f t="shared" si="1"/>
        <v>44.835000000000001</v>
      </c>
      <c r="H18" s="25">
        <f t="shared" si="2"/>
        <v>121.0545</v>
      </c>
    </row>
    <row r="19" spans="1:8" ht="30" hidden="1" customHeight="1" x14ac:dyDescent="0.25">
      <c r="A19" s="18" t="s">
        <v>719</v>
      </c>
      <c r="B19" s="18" t="s">
        <v>11</v>
      </c>
      <c r="C19" s="18" t="s">
        <v>733</v>
      </c>
      <c r="D19" s="18">
        <v>1.6</v>
      </c>
      <c r="E19" s="19">
        <v>91.5</v>
      </c>
      <c r="F19" s="9">
        <f t="shared" si="0"/>
        <v>89.67</v>
      </c>
      <c r="G19" s="27">
        <f t="shared" si="1"/>
        <v>44.835000000000001</v>
      </c>
      <c r="H19" s="25">
        <f t="shared" si="2"/>
        <v>121.0545</v>
      </c>
    </row>
    <row r="20" spans="1:8" ht="30" hidden="1" customHeight="1" x14ac:dyDescent="0.25">
      <c r="A20" s="16" t="s">
        <v>719</v>
      </c>
      <c r="B20" s="16" t="s">
        <v>37</v>
      </c>
      <c r="C20" s="16" t="s">
        <v>734</v>
      </c>
      <c r="D20" s="16">
        <v>2</v>
      </c>
      <c r="E20" s="17">
        <v>91.5</v>
      </c>
      <c r="F20" s="9">
        <f t="shared" si="0"/>
        <v>89.67</v>
      </c>
      <c r="G20" s="27">
        <f t="shared" si="1"/>
        <v>44.835000000000001</v>
      </c>
      <c r="H20" s="25">
        <f t="shared" si="2"/>
        <v>121.0545</v>
      </c>
    </row>
    <row r="21" spans="1:8" ht="30" hidden="1" customHeight="1" x14ac:dyDescent="0.25">
      <c r="A21" s="18" t="s">
        <v>719</v>
      </c>
      <c r="B21" s="18" t="s">
        <v>37</v>
      </c>
      <c r="C21" s="18" t="s">
        <v>735</v>
      </c>
      <c r="D21" s="18">
        <v>2</v>
      </c>
      <c r="E21" s="19">
        <v>91.5</v>
      </c>
      <c r="F21" s="9">
        <f t="shared" si="0"/>
        <v>89.67</v>
      </c>
      <c r="G21" s="27">
        <f t="shared" si="1"/>
        <v>44.835000000000001</v>
      </c>
      <c r="H21" s="25">
        <f t="shared" si="2"/>
        <v>121.0545</v>
      </c>
    </row>
    <row r="22" spans="1:8" ht="30" hidden="1" customHeight="1" x14ac:dyDescent="0.25">
      <c r="A22" s="16" t="s">
        <v>719</v>
      </c>
      <c r="B22" s="16" t="s">
        <v>103</v>
      </c>
      <c r="C22" s="16" t="s">
        <v>736</v>
      </c>
      <c r="D22" s="16"/>
      <c r="E22" s="17">
        <v>91.5</v>
      </c>
      <c r="F22" s="9">
        <f t="shared" si="0"/>
        <v>89.67</v>
      </c>
      <c r="G22" s="27">
        <f t="shared" si="1"/>
        <v>44.835000000000001</v>
      </c>
      <c r="H22" s="25">
        <f t="shared" si="2"/>
        <v>121.0545</v>
      </c>
    </row>
    <row r="23" spans="1:8" ht="30" hidden="1" customHeight="1" x14ac:dyDescent="0.25">
      <c r="A23" s="18" t="s">
        <v>719</v>
      </c>
      <c r="B23" s="18" t="s">
        <v>23</v>
      </c>
      <c r="C23" s="18" t="s">
        <v>737</v>
      </c>
      <c r="D23" s="18">
        <v>1.6</v>
      </c>
      <c r="E23" s="19">
        <v>91.5</v>
      </c>
      <c r="F23" s="9">
        <f t="shared" si="0"/>
        <v>89.67</v>
      </c>
      <c r="G23" s="27">
        <f t="shared" si="1"/>
        <v>44.835000000000001</v>
      </c>
      <c r="H23" s="25">
        <f t="shared" si="2"/>
        <v>121.0545</v>
      </c>
    </row>
    <row r="24" spans="1:8" ht="30" hidden="1" customHeight="1" x14ac:dyDescent="0.25">
      <c r="A24" s="16" t="s">
        <v>719</v>
      </c>
      <c r="B24" s="16" t="s">
        <v>25</v>
      </c>
      <c r="C24" s="16" t="s">
        <v>738</v>
      </c>
      <c r="D24" s="16">
        <v>1.8</v>
      </c>
      <c r="E24" s="17">
        <v>91.5</v>
      </c>
      <c r="F24" s="9">
        <f t="shared" si="0"/>
        <v>89.67</v>
      </c>
      <c r="G24" s="27">
        <f t="shared" si="1"/>
        <v>44.835000000000001</v>
      </c>
      <c r="H24" s="25">
        <f t="shared" si="2"/>
        <v>121.0545</v>
      </c>
    </row>
    <row r="25" spans="1:8" ht="30" customHeight="1" x14ac:dyDescent="0.25">
      <c r="A25" s="18" t="s">
        <v>739</v>
      </c>
      <c r="B25" s="18" t="s">
        <v>336</v>
      </c>
      <c r="C25" s="18" t="s">
        <v>740</v>
      </c>
      <c r="D25" s="18">
        <v>1.6</v>
      </c>
      <c r="E25" s="19">
        <v>109.91</v>
      </c>
      <c r="F25" s="9">
        <f t="shared" si="0"/>
        <v>107.7118</v>
      </c>
      <c r="G25" s="27">
        <f t="shared" si="1"/>
        <v>53.855899999999998</v>
      </c>
      <c r="H25" s="25">
        <f t="shared" si="2"/>
        <v>145.41093000000001</v>
      </c>
    </row>
    <row r="26" spans="1:8" ht="30" hidden="1" customHeight="1" x14ac:dyDescent="0.25">
      <c r="A26" s="16" t="s">
        <v>739</v>
      </c>
      <c r="B26" s="16" t="s">
        <v>358</v>
      </c>
      <c r="C26" s="16" t="s">
        <v>741</v>
      </c>
      <c r="D26" s="16" t="s">
        <v>18</v>
      </c>
      <c r="E26" s="17">
        <v>109.91</v>
      </c>
      <c r="F26" s="9">
        <f t="shared" si="0"/>
        <v>107.7118</v>
      </c>
      <c r="G26" s="27">
        <f t="shared" si="1"/>
        <v>53.855899999999998</v>
      </c>
      <c r="H26" s="25">
        <f t="shared" si="2"/>
        <v>145.41093000000001</v>
      </c>
    </row>
    <row r="27" spans="1:8" ht="30" hidden="1" customHeight="1" x14ac:dyDescent="0.25">
      <c r="A27" s="18" t="s">
        <v>739</v>
      </c>
      <c r="B27" s="18" t="s">
        <v>5</v>
      </c>
      <c r="C27" s="18" t="s">
        <v>742</v>
      </c>
      <c r="D27" s="18" t="s">
        <v>18</v>
      </c>
      <c r="E27" s="19">
        <v>109.91</v>
      </c>
      <c r="F27" s="9">
        <f t="shared" si="0"/>
        <v>107.7118</v>
      </c>
      <c r="G27" s="27">
        <f t="shared" si="1"/>
        <v>53.855899999999998</v>
      </c>
      <c r="H27" s="25">
        <f t="shared" si="2"/>
        <v>145.41093000000001</v>
      </c>
    </row>
    <row r="28" spans="1:8" ht="30" hidden="1" customHeight="1" x14ac:dyDescent="0.25">
      <c r="A28" s="16" t="s">
        <v>739</v>
      </c>
      <c r="B28" s="16" t="s">
        <v>35</v>
      </c>
      <c r="C28" s="16" t="s">
        <v>743</v>
      </c>
      <c r="D28" s="16" t="s">
        <v>18</v>
      </c>
      <c r="E28" s="17">
        <v>109.91</v>
      </c>
      <c r="F28" s="9">
        <f t="shared" si="0"/>
        <v>107.7118</v>
      </c>
      <c r="G28" s="27">
        <f t="shared" si="1"/>
        <v>53.855899999999998</v>
      </c>
      <c r="H28" s="25">
        <f t="shared" si="2"/>
        <v>145.41093000000001</v>
      </c>
    </row>
    <row r="29" spans="1:8" ht="30" hidden="1" customHeight="1" x14ac:dyDescent="0.25">
      <c r="A29" s="18" t="s">
        <v>739</v>
      </c>
      <c r="B29" s="18" t="s">
        <v>162</v>
      </c>
      <c r="C29" s="18" t="s">
        <v>744</v>
      </c>
      <c r="D29" s="18" t="s">
        <v>18</v>
      </c>
      <c r="E29" s="19">
        <v>109.91</v>
      </c>
      <c r="F29" s="9">
        <f t="shared" si="0"/>
        <v>107.7118</v>
      </c>
      <c r="G29" s="27">
        <f t="shared" si="1"/>
        <v>53.855899999999998</v>
      </c>
      <c r="H29" s="25">
        <f t="shared" si="2"/>
        <v>145.41093000000001</v>
      </c>
    </row>
    <row r="30" spans="1:8" ht="30" hidden="1" customHeight="1" x14ac:dyDescent="0.25">
      <c r="A30" s="16" t="s">
        <v>739</v>
      </c>
      <c r="B30" s="16" t="s">
        <v>85</v>
      </c>
      <c r="C30" s="16" t="s">
        <v>745</v>
      </c>
      <c r="D30" s="16">
        <v>1.6</v>
      </c>
      <c r="E30" s="17">
        <v>109.91</v>
      </c>
      <c r="F30" s="9">
        <f t="shared" si="0"/>
        <v>107.7118</v>
      </c>
      <c r="G30" s="27">
        <f t="shared" si="1"/>
        <v>53.855899999999998</v>
      </c>
      <c r="H30" s="25">
        <f t="shared" si="2"/>
        <v>145.41093000000001</v>
      </c>
    </row>
    <row r="31" spans="1:8" ht="30" hidden="1" customHeight="1" x14ac:dyDescent="0.25">
      <c r="A31" s="18" t="s">
        <v>739</v>
      </c>
      <c r="B31" s="18" t="s">
        <v>13</v>
      </c>
      <c r="C31" s="18" t="s">
        <v>746</v>
      </c>
      <c r="D31" s="18">
        <v>1.6</v>
      </c>
      <c r="E31" s="19">
        <v>109.91</v>
      </c>
      <c r="F31" s="9">
        <f t="shared" si="0"/>
        <v>107.7118</v>
      </c>
      <c r="G31" s="27">
        <f t="shared" si="1"/>
        <v>53.855899999999998</v>
      </c>
      <c r="H31" s="25">
        <f t="shared" si="2"/>
        <v>145.41093000000001</v>
      </c>
    </row>
    <row r="32" spans="1:8" ht="30" hidden="1" customHeight="1" x14ac:dyDescent="0.25">
      <c r="A32" s="16" t="s">
        <v>739</v>
      </c>
      <c r="B32" s="16" t="s">
        <v>37</v>
      </c>
      <c r="C32" s="16" t="s">
        <v>747</v>
      </c>
      <c r="D32" s="16">
        <v>2</v>
      </c>
      <c r="E32" s="17">
        <v>109.91</v>
      </c>
      <c r="F32" s="9">
        <f t="shared" si="0"/>
        <v>107.7118</v>
      </c>
      <c r="G32" s="27">
        <f t="shared" si="1"/>
        <v>53.855899999999998</v>
      </c>
      <c r="H32" s="25">
        <f t="shared" si="2"/>
        <v>145.41093000000001</v>
      </c>
    </row>
    <row r="33" spans="1:8" ht="30" hidden="1" customHeight="1" x14ac:dyDescent="0.25">
      <c r="A33" s="18" t="s">
        <v>739</v>
      </c>
      <c r="B33" s="18" t="s">
        <v>21</v>
      </c>
      <c r="C33" s="18" t="s">
        <v>748</v>
      </c>
      <c r="D33" s="18">
        <v>1.8</v>
      </c>
      <c r="E33" s="19">
        <v>109.91</v>
      </c>
      <c r="F33" s="9">
        <f t="shared" si="0"/>
        <v>107.7118</v>
      </c>
      <c r="G33" s="27">
        <f t="shared" si="1"/>
        <v>53.855899999999998</v>
      </c>
      <c r="H33" s="25">
        <f t="shared" si="2"/>
        <v>145.41093000000001</v>
      </c>
    </row>
    <row r="34" spans="1:8" ht="30" hidden="1" customHeight="1" x14ac:dyDescent="0.25">
      <c r="A34" s="16" t="s">
        <v>739</v>
      </c>
      <c r="B34" s="16" t="s">
        <v>21</v>
      </c>
      <c r="C34" s="16" t="s">
        <v>749</v>
      </c>
      <c r="D34" s="16">
        <v>1.8</v>
      </c>
      <c r="E34" s="17">
        <v>109.91</v>
      </c>
      <c r="F34" s="9">
        <f t="shared" si="0"/>
        <v>107.7118</v>
      </c>
      <c r="G34" s="27">
        <f t="shared" si="1"/>
        <v>53.855899999999998</v>
      </c>
      <c r="H34" s="25">
        <f t="shared" si="2"/>
        <v>145.41093000000001</v>
      </c>
    </row>
    <row r="35" spans="1:8" ht="30" hidden="1" customHeight="1" x14ac:dyDescent="0.25">
      <c r="A35" s="18" t="s">
        <v>739</v>
      </c>
      <c r="B35" s="18" t="s">
        <v>23</v>
      </c>
      <c r="C35" s="18" t="s">
        <v>750</v>
      </c>
      <c r="D35" s="18">
        <v>2</v>
      </c>
      <c r="E35" s="19">
        <v>109.91</v>
      </c>
      <c r="F35" s="9">
        <f t="shared" si="0"/>
        <v>107.7118</v>
      </c>
      <c r="G35" s="27">
        <f t="shared" si="1"/>
        <v>53.855899999999998</v>
      </c>
      <c r="H35" s="25">
        <f t="shared" si="2"/>
        <v>145.41093000000001</v>
      </c>
    </row>
    <row r="36" spans="1:8" ht="30" hidden="1" customHeight="1" x14ac:dyDescent="0.25">
      <c r="A36" s="16" t="s">
        <v>739</v>
      </c>
      <c r="B36" s="16" t="s">
        <v>25</v>
      </c>
      <c r="C36" s="16" t="s">
        <v>751</v>
      </c>
      <c r="D36" s="16">
        <v>1.4</v>
      </c>
      <c r="E36" s="17">
        <v>109.91</v>
      </c>
      <c r="F36" s="9">
        <f t="shared" si="0"/>
        <v>107.7118</v>
      </c>
      <c r="G36" s="27">
        <f t="shared" si="1"/>
        <v>53.855899999999998</v>
      </c>
      <c r="H36" s="25">
        <f t="shared" si="2"/>
        <v>145.41093000000001</v>
      </c>
    </row>
    <row r="37" spans="1:8" ht="30" customHeight="1" x14ac:dyDescent="0.25">
      <c r="A37" s="18" t="s">
        <v>752</v>
      </c>
      <c r="B37" s="18" t="s">
        <v>336</v>
      </c>
      <c r="C37" s="18" t="s">
        <v>753</v>
      </c>
      <c r="D37" s="18">
        <v>2</v>
      </c>
      <c r="E37" s="19">
        <v>125.49</v>
      </c>
      <c r="F37" s="9">
        <f t="shared" si="0"/>
        <v>122.9802</v>
      </c>
      <c r="G37" s="27">
        <f t="shared" si="1"/>
        <v>61.490099999999998</v>
      </c>
      <c r="H37" s="25">
        <f t="shared" si="2"/>
        <v>166.02327</v>
      </c>
    </row>
    <row r="38" spans="1:8" ht="30" hidden="1" customHeight="1" x14ac:dyDescent="0.25">
      <c r="A38" s="16" t="s">
        <v>752</v>
      </c>
      <c r="B38" s="16" t="s">
        <v>336</v>
      </c>
      <c r="C38" s="16" t="s">
        <v>754</v>
      </c>
      <c r="D38" s="16">
        <v>2</v>
      </c>
      <c r="E38" s="17">
        <v>125.49</v>
      </c>
      <c r="F38" s="9">
        <f t="shared" si="0"/>
        <v>122.9802</v>
      </c>
      <c r="G38" s="27">
        <f t="shared" si="1"/>
        <v>61.490099999999998</v>
      </c>
      <c r="H38" s="25">
        <f t="shared" si="2"/>
        <v>166.02327</v>
      </c>
    </row>
    <row r="39" spans="1:8" ht="30" hidden="1" customHeight="1" x14ac:dyDescent="0.25">
      <c r="A39" s="18" t="s">
        <v>752</v>
      </c>
      <c r="B39" s="18" t="s">
        <v>336</v>
      </c>
      <c r="C39" s="18" t="s">
        <v>755</v>
      </c>
      <c r="D39" s="18">
        <v>1.8</v>
      </c>
      <c r="E39" s="19">
        <v>125.49</v>
      </c>
      <c r="F39" s="9">
        <f t="shared" si="0"/>
        <v>122.9802</v>
      </c>
      <c r="G39" s="27">
        <f t="shared" si="1"/>
        <v>61.490099999999998</v>
      </c>
      <c r="H39" s="25">
        <f t="shared" si="2"/>
        <v>166.02327</v>
      </c>
    </row>
    <row r="40" spans="1:8" ht="30" hidden="1" customHeight="1" x14ac:dyDescent="0.25">
      <c r="A40" s="16" t="s">
        <v>752</v>
      </c>
      <c r="B40" s="16" t="s">
        <v>358</v>
      </c>
      <c r="C40" s="16" t="s">
        <v>756</v>
      </c>
      <c r="D40" s="16" t="s">
        <v>18</v>
      </c>
      <c r="E40" s="17">
        <v>125.49</v>
      </c>
      <c r="F40" s="9">
        <f t="shared" si="0"/>
        <v>122.9802</v>
      </c>
      <c r="G40" s="27">
        <f t="shared" si="1"/>
        <v>61.490099999999998</v>
      </c>
      <c r="H40" s="25">
        <f t="shared" si="2"/>
        <v>166.02327</v>
      </c>
    </row>
    <row r="41" spans="1:8" ht="30" hidden="1" customHeight="1" x14ac:dyDescent="0.25">
      <c r="A41" s="18" t="s">
        <v>752</v>
      </c>
      <c r="B41" s="18" t="s">
        <v>358</v>
      </c>
      <c r="C41" s="18" t="s">
        <v>757</v>
      </c>
      <c r="D41" s="18">
        <v>2</v>
      </c>
      <c r="E41" s="19">
        <v>125.49</v>
      </c>
      <c r="F41" s="9">
        <f t="shared" si="0"/>
        <v>122.9802</v>
      </c>
      <c r="G41" s="27">
        <f t="shared" si="1"/>
        <v>61.490099999999998</v>
      </c>
      <c r="H41" s="25">
        <f t="shared" si="2"/>
        <v>166.02327</v>
      </c>
    </row>
    <row r="42" spans="1:8" ht="30" hidden="1" customHeight="1" x14ac:dyDescent="0.25">
      <c r="A42" s="16" t="s">
        <v>752</v>
      </c>
      <c r="B42" s="16" t="s">
        <v>33</v>
      </c>
      <c r="C42" s="16" t="s">
        <v>758</v>
      </c>
      <c r="D42" s="16">
        <v>2</v>
      </c>
      <c r="E42" s="17">
        <v>125.49</v>
      </c>
      <c r="F42" s="9">
        <f t="shared" si="0"/>
        <v>122.9802</v>
      </c>
      <c r="G42" s="27">
        <f t="shared" si="1"/>
        <v>61.490099999999998</v>
      </c>
      <c r="H42" s="25">
        <f t="shared" si="2"/>
        <v>166.02327</v>
      </c>
    </row>
    <row r="43" spans="1:8" ht="30" hidden="1" customHeight="1" x14ac:dyDescent="0.25">
      <c r="A43" s="18" t="s">
        <v>752</v>
      </c>
      <c r="B43" s="18" t="s">
        <v>33</v>
      </c>
      <c r="C43" s="18" t="s">
        <v>759</v>
      </c>
      <c r="D43" s="18">
        <v>2.5</v>
      </c>
      <c r="E43" s="19">
        <v>125.49</v>
      </c>
      <c r="F43" s="9">
        <f t="shared" si="0"/>
        <v>122.9802</v>
      </c>
      <c r="G43" s="27">
        <f t="shared" si="1"/>
        <v>61.490099999999998</v>
      </c>
      <c r="H43" s="25">
        <f t="shared" si="2"/>
        <v>166.02327</v>
      </c>
    </row>
    <row r="44" spans="1:8" ht="30" hidden="1" customHeight="1" x14ac:dyDescent="0.25">
      <c r="A44" s="16" t="s">
        <v>752</v>
      </c>
      <c r="B44" s="16" t="s">
        <v>33</v>
      </c>
      <c r="C44" s="16" t="s">
        <v>760</v>
      </c>
      <c r="D44" s="16">
        <v>2.5</v>
      </c>
      <c r="E44" s="17">
        <v>125.49</v>
      </c>
      <c r="F44" s="9">
        <f t="shared" si="0"/>
        <v>122.9802</v>
      </c>
      <c r="G44" s="27">
        <f t="shared" si="1"/>
        <v>61.490099999999998</v>
      </c>
      <c r="H44" s="25">
        <f t="shared" si="2"/>
        <v>166.02327</v>
      </c>
    </row>
    <row r="45" spans="1:8" ht="30" hidden="1" customHeight="1" x14ac:dyDescent="0.25">
      <c r="A45" s="18" t="s">
        <v>752</v>
      </c>
      <c r="B45" s="18" t="s">
        <v>49</v>
      </c>
      <c r="C45" s="18" t="s">
        <v>761</v>
      </c>
      <c r="D45" s="18">
        <v>2.2000000000000002</v>
      </c>
      <c r="E45" s="19">
        <v>125.49</v>
      </c>
      <c r="F45" s="9">
        <f t="shared" si="0"/>
        <v>122.9802</v>
      </c>
      <c r="G45" s="27">
        <f t="shared" si="1"/>
        <v>61.490099999999998</v>
      </c>
      <c r="H45" s="25">
        <f t="shared" si="2"/>
        <v>166.02327</v>
      </c>
    </row>
    <row r="46" spans="1:8" ht="30" hidden="1" customHeight="1" x14ac:dyDescent="0.25">
      <c r="A46" s="16" t="s">
        <v>752</v>
      </c>
      <c r="B46" s="16" t="s">
        <v>49</v>
      </c>
      <c r="C46" s="16" t="s">
        <v>762</v>
      </c>
      <c r="D46" s="16">
        <v>2</v>
      </c>
      <c r="E46" s="17">
        <v>125.49</v>
      </c>
      <c r="F46" s="9">
        <f t="shared" si="0"/>
        <v>122.9802</v>
      </c>
      <c r="G46" s="27">
        <f t="shared" si="1"/>
        <v>61.490099999999998</v>
      </c>
      <c r="H46" s="25">
        <f t="shared" si="2"/>
        <v>166.02327</v>
      </c>
    </row>
    <row r="47" spans="1:8" ht="30" hidden="1" customHeight="1" x14ac:dyDescent="0.25">
      <c r="A47" s="18" t="s">
        <v>752</v>
      </c>
      <c r="B47" s="18" t="s">
        <v>306</v>
      </c>
      <c r="C47" s="18" t="s">
        <v>763</v>
      </c>
      <c r="D47" s="18" t="s">
        <v>18</v>
      </c>
      <c r="E47" s="19">
        <v>125.49</v>
      </c>
      <c r="F47" s="9">
        <f t="shared" si="0"/>
        <v>122.9802</v>
      </c>
      <c r="G47" s="27">
        <f t="shared" si="1"/>
        <v>61.490099999999998</v>
      </c>
      <c r="H47" s="25">
        <f t="shared" si="2"/>
        <v>166.02327</v>
      </c>
    </row>
    <row r="48" spans="1:8" ht="30" hidden="1" customHeight="1" x14ac:dyDescent="0.25">
      <c r="A48" s="16" t="s">
        <v>752</v>
      </c>
      <c r="B48" s="16" t="s">
        <v>85</v>
      </c>
      <c r="C48" s="16" t="s">
        <v>764</v>
      </c>
      <c r="D48" s="16" t="s">
        <v>18</v>
      </c>
      <c r="E48" s="17">
        <v>125.49</v>
      </c>
      <c r="F48" s="9">
        <f t="shared" si="0"/>
        <v>122.9802</v>
      </c>
      <c r="G48" s="27">
        <f t="shared" si="1"/>
        <v>61.490099999999998</v>
      </c>
      <c r="H48" s="25">
        <f t="shared" si="2"/>
        <v>166.02327</v>
      </c>
    </row>
    <row r="49" spans="1:8" ht="30" hidden="1" customHeight="1" x14ac:dyDescent="0.25">
      <c r="A49" s="18" t="s">
        <v>752</v>
      </c>
      <c r="B49" s="18" t="s">
        <v>103</v>
      </c>
      <c r="C49" s="18" t="s">
        <v>765</v>
      </c>
      <c r="D49" s="18">
        <v>2</v>
      </c>
      <c r="E49" s="19">
        <v>125.49</v>
      </c>
      <c r="F49" s="9">
        <f t="shared" si="0"/>
        <v>122.9802</v>
      </c>
      <c r="G49" s="27">
        <f t="shared" si="1"/>
        <v>61.490099999999998</v>
      </c>
      <c r="H49" s="25">
        <f t="shared" si="2"/>
        <v>166.02327</v>
      </c>
    </row>
    <row r="50" spans="1:8" ht="30" hidden="1" customHeight="1" x14ac:dyDescent="0.25">
      <c r="A50" s="16" t="s">
        <v>752</v>
      </c>
      <c r="B50" s="16" t="s">
        <v>21</v>
      </c>
      <c r="C50" s="16" t="s">
        <v>766</v>
      </c>
      <c r="D50" s="16">
        <v>2</v>
      </c>
      <c r="E50" s="17">
        <v>125.49</v>
      </c>
      <c r="F50" s="9">
        <f t="shared" si="0"/>
        <v>122.9802</v>
      </c>
      <c r="G50" s="27">
        <f t="shared" si="1"/>
        <v>61.490099999999998</v>
      </c>
      <c r="H50" s="25">
        <f t="shared" si="2"/>
        <v>166.02327</v>
      </c>
    </row>
    <row r="51" spans="1:8" ht="30" hidden="1" customHeight="1" x14ac:dyDescent="0.25">
      <c r="A51" s="18" t="s">
        <v>752</v>
      </c>
      <c r="B51" s="18" t="s">
        <v>25</v>
      </c>
      <c r="C51" s="18" t="s">
        <v>767</v>
      </c>
      <c r="D51" s="18">
        <v>2</v>
      </c>
      <c r="E51" s="19">
        <v>125.49</v>
      </c>
      <c r="F51" s="9">
        <f t="shared" si="0"/>
        <v>122.9802</v>
      </c>
      <c r="G51" s="27">
        <f t="shared" si="1"/>
        <v>61.490099999999998</v>
      </c>
      <c r="H51" s="25">
        <f t="shared" si="2"/>
        <v>166.02327</v>
      </c>
    </row>
    <row r="52" spans="1:8" ht="30" hidden="1" customHeight="1" x14ac:dyDescent="0.25">
      <c r="A52" s="16" t="s">
        <v>752</v>
      </c>
      <c r="B52" s="16" t="s">
        <v>25</v>
      </c>
      <c r="C52" s="16" t="s">
        <v>768</v>
      </c>
      <c r="D52" s="16" t="s">
        <v>18</v>
      </c>
      <c r="E52" s="17">
        <v>125.49</v>
      </c>
      <c r="F52" s="9">
        <f t="shared" si="0"/>
        <v>122.9802</v>
      </c>
      <c r="G52" s="27">
        <f t="shared" si="1"/>
        <v>61.490099999999998</v>
      </c>
      <c r="H52" s="25">
        <f t="shared" si="2"/>
        <v>166.02327</v>
      </c>
    </row>
    <row r="53" spans="1:8" ht="30" customHeight="1" x14ac:dyDescent="0.25">
      <c r="A53" s="18" t="s">
        <v>769</v>
      </c>
      <c r="B53" s="18" t="s">
        <v>336</v>
      </c>
      <c r="C53" s="18" t="s">
        <v>770</v>
      </c>
      <c r="D53" s="18">
        <v>1.8</v>
      </c>
      <c r="E53" s="19">
        <v>137.1</v>
      </c>
      <c r="F53" s="9">
        <f t="shared" si="0"/>
        <v>134.358</v>
      </c>
      <c r="G53" s="27">
        <f t="shared" si="1"/>
        <v>67.179000000000002</v>
      </c>
      <c r="H53" s="25">
        <f t="shared" si="2"/>
        <v>181.38330000000002</v>
      </c>
    </row>
    <row r="54" spans="1:8" ht="30" hidden="1" customHeight="1" x14ac:dyDescent="0.25">
      <c r="A54" s="16" t="s">
        <v>769</v>
      </c>
      <c r="B54" s="16" t="s">
        <v>336</v>
      </c>
      <c r="C54" s="16" t="s">
        <v>771</v>
      </c>
      <c r="D54" s="16" t="s">
        <v>18</v>
      </c>
      <c r="E54" s="17">
        <v>137.1</v>
      </c>
      <c r="F54" s="9">
        <f t="shared" si="0"/>
        <v>134.358</v>
      </c>
      <c r="G54" s="27">
        <f t="shared" si="1"/>
        <v>67.179000000000002</v>
      </c>
      <c r="H54" s="25">
        <f t="shared" si="2"/>
        <v>181.38330000000002</v>
      </c>
    </row>
    <row r="55" spans="1:8" ht="30" hidden="1" customHeight="1" x14ac:dyDescent="0.25">
      <c r="A55" s="18" t="s">
        <v>769</v>
      </c>
      <c r="B55" s="18" t="s">
        <v>336</v>
      </c>
      <c r="C55" s="18" t="s">
        <v>772</v>
      </c>
      <c r="D55" s="18">
        <v>1.8</v>
      </c>
      <c r="E55" s="19">
        <v>137.1</v>
      </c>
      <c r="F55" s="9">
        <f t="shared" si="0"/>
        <v>134.358</v>
      </c>
      <c r="G55" s="27">
        <f t="shared" si="1"/>
        <v>67.179000000000002</v>
      </c>
      <c r="H55" s="25">
        <f t="shared" si="2"/>
        <v>181.38330000000002</v>
      </c>
    </row>
    <row r="56" spans="1:8" ht="30" hidden="1" customHeight="1" x14ac:dyDescent="0.25">
      <c r="A56" s="16" t="s">
        <v>769</v>
      </c>
      <c r="B56" s="16" t="s">
        <v>336</v>
      </c>
      <c r="C56" s="16" t="s">
        <v>773</v>
      </c>
      <c r="D56" s="16">
        <v>1.8</v>
      </c>
      <c r="E56" s="17">
        <v>137.1</v>
      </c>
      <c r="F56" s="9">
        <f t="shared" si="0"/>
        <v>134.358</v>
      </c>
      <c r="G56" s="27">
        <f t="shared" si="1"/>
        <v>67.179000000000002</v>
      </c>
      <c r="H56" s="25">
        <f t="shared" si="2"/>
        <v>181.38330000000002</v>
      </c>
    </row>
    <row r="57" spans="1:8" ht="30" hidden="1" customHeight="1" x14ac:dyDescent="0.25">
      <c r="A57" s="18" t="s">
        <v>769</v>
      </c>
      <c r="B57" s="18" t="s">
        <v>336</v>
      </c>
      <c r="C57" s="18" t="s">
        <v>774</v>
      </c>
      <c r="D57" s="18">
        <v>2</v>
      </c>
      <c r="E57" s="19">
        <v>137.1</v>
      </c>
      <c r="F57" s="9">
        <f t="shared" si="0"/>
        <v>134.358</v>
      </c>
      <c r="G57" s="27">
        <f t="shared" si="1"/>
        <v>67.179000000000002</v>
      </c>
      <c r="H57" s="25">
        <f t="shared" si="2"/>
        <v>181.38330000000002</v>
      </c>
    </row>
    <row r="58" spans="1:8" ht="30" hidden="1" customHeight="1" x14ac:dyDescent="0.25">
      <c r="A58" s="16" t="s">
        <v>769</v>
      </c>
      <c r="B58" s="16" t="s">
        <v>358</v>
      </c>
      <c r="C58" s="16" t="s">
        <v>775</v>
      </c>
      <c r="D58" s="16" t="s">
        <v>18</v>
      </c>
      <c r="E58" s="17">
        <v>137.1</v>
      </c>
      <c r="F58" s="9">
        <f t="shared" si="0"/>
        <v>134.358</v>
      </c>
      <c r="G58" s="27">
        <f t="shared" si="1"/>
        <v>67.179000000000002</v>
      </c>
      <c r="H58" s="25">
        <f t="shared" si="2"/>
        <v>181.38330000000002</v>
      </c>
    </row>
    <row r="59" spans="1:8" ht="30" hidden="1" customHeight="1" x14ac:dyDescent="0.25">
      <c r="A59" s="18" t="s">
        <v>769</v>
      </c>
      <c r="B59" s="18" t="s">
        <v>358</v>
      </c>
      <c r="C59" s="18" t="s">
        <v>776</v>
      </c>
      <c r="D59" s="18" t="s">
        <v>18</v>
      </c>
      <c r="E59" s="19">
        <v>137.1</v>
      </c>
      <c r="F59" s="9">
        <f t="shared" si="0"/>
        <v>134.358</v>
      </c>
      <c r="G59" s="27">
        <f t="shared" si="1"/>
        <v>67.179000000000002</v>
      </c>
      <c r="H59" s="25">
        <f t="shared" si="2"/>
        <v>181.38330000000002</v>
      </c>
    </row>
    <row r="60" spans="1:8" ht="30" hidden="1" customHeight="1" x14ac:dyDescent="0.25">
      <c r="A60" s="16" t="s">
        <v>769</v>
      </c>
      <c r="B60" s="16" t="s">
        <v>358</v>
      </c>
      <c r="C60" s="16" t="s">
        <v>777</v>
      </c>
      <c r="D60" s="16">
        <v>2</v>
      </c>
      <c r="E60" s="17">
        <v>137.1</v>
      </c>
      <c r="F60" s="9">
        <f t="shared" si="0"/>
        <v>134.358</v>
      </c>
      <c r="G60" s="27">
        <f t="shared" si="1"/>
        <v>67.179000000000002</v>
      </c>
      <c r="H60" s="25">
        <f t="shared" si="2"/>
        <v>181.38330000000002</v>
      </c>
    </row>
    <row r="61" spans="1:8" ht="30" hidden="1" customHeight="1" x14ac:dyDescent="0.25">
      <c r="A61" s="18" t="s">
        <v>769</v>
      </c>
      <c r="B61" s="18" t="s">
        <v>358</v>
      </c>
      <c r="C61" s="18" t="s">
        <v>778</v>
      </c>
      <c r="D61" s="18">
        <v>1.8</v>
      </c>
      <c r="E61" s="19">
        <v>137.1</v>
      </c>
      <c r="F61" s="9">
        <f t="shared" si="0"/>
        <v>134.358</v>
      </c>
      <c r="G61" s="27">
        <f t="shared" si="1"/>
        <v>67.179000000000002</v>
      </c>
      <c r="H61" s="25">
        <f t="shared" si="2"/>
        <v>181.38330000000002</v>
      </c>
    </row>
    <row r="62" spans="1:8" ht="30" hidden="1" customHeight="1" x14ac:dyDescent="0.25">
      <c r="A62" s="16" t="s">
        <v>769</v>
      </c>
      <c r="B62" s="16" t="s">
        <v>358</v>
      </c>
      <c r="C62" s="16" t="s">
        <v>779</v>
      </c>
      <c r="D62" s="16">
        <v>3</v>
      </c>
      <c r="E62" s="17">
        <v>137.1</v>
      </c>
      <c r="F62" s="9">
        <f t="shared" si="0"/>
        <v>134.358</v>
      </c>
      <c r="G62" s="27">
        <f t="shared" si="1"/>
        <v>67.179000000000002</v>
      </c>
      <c r="H62" s="25">
        <f t="shared" si="2"/>
        <v>181.38330000000002</v>
      </c>
    </row>
    <row r="63" spans="1:8" ht="30" hidden="1" customHeight="1" x14ac:dyDescent="0.25">
      <c r="A63" s="18" t="s">
        <v>769</v>
      </c>
      <c r="B63" s="18" t="s">
        <v>358</v>
      </c>
      <c r="C63" s="18" t="s">
        <v>780</v>
      </c>
      <c r="D63" s="18">
        <v>2</v>
      </c>
      <c r="E63" s="19">
        <v>137.1</v>
      </c>
      <c r="F63" s="9">
        <f t="shared" si="0"/>
        <v>134.358</v>
      </c>
      <c r="G63" s="27">
        <f t="shared" si="1"/>
        <v>67.179000000000002</v>
      </c>
      <c r="H63" s="25">
        <f t="shared" si="2"/>
        <v>181.38330000000002</v>
      </c>
    </row>
    <row r="64" spans="1:8" ht="30" hidden="1" customHeight="1" x14ac:dyDescent="0.25">
      <c r="A64" s="16" t="s">
        <v>769</v>
      </c>
      <c r="B64" s="16" t="s">
        <v>358</v>
      </c>
      <c r="C64" s="16" t="s">
        <v>781</v>
      </c>
      <c r="D64" s="16"/>
      <c r="E64" s="17">
        <v>137.1</v>
      </c>
      <c r="F64" s="9">
        <f t="shared" si="0"/>
        <v>134.358</v>
      </c>
      <c r="G64" s="27">
        <f t="shared" si="1"/>
        <v>67.179000000000002</v>
      </c>
      <c r="H64" s="25">
        <f t="shared" si="2"/>
        <v>181.38330000000002</v>
      </c>
    </row>
    <row r="65" spans="1:8" ht="30" hidden="1" customHeight="1" x14ac:dyDescent="0.25">
      <c r="A65" s="18" t="s">
        <v>769</v>
      </c>
      <c r="B65" s="18" t="s">
        <v>155</v>
      </c>
      <c r="C65" s="18" t="s">
        <v>782</v>
      </c>
      <c r="D65" s="18" t="s">
        <v>18</v>
      </c>
      <c r="E65" s="19">
        <v>137.1</v>
      </c>
      <c r="F65" s="9">
        <f t="shared" si="0"/>
        <v>134.358</v>
      </c>
      <c r="G65" s="27">
        <f t="shared" si="1"/>
        <v>67.179000000000002</v>
      </c>
      <c r="H65" s="25">
        <f t="shared" si="2"/>
        <v>181.38330000000002</v>
      </c>
    </row>
    <row r="66" spans="1:8" ht="30" hidden="1" customHeight="1" x14ac:dyDescent="0.25">
      <c r="A66" s="16" t="s">
        <v>769</v>
      </c>
      <c r="B66" s="16" t="s">
        <v>783</v>
      </c>
      <c r="C66" s="16" t="s">
        <v>784</v>
      </c>
      <c r="D66" s="16">
        <v>1.8</v>
      </c>
      <c r="E66" s="17">
        <v>137.1</v>
      </c>
      <c r="F66" s="9">
        <f t="shared" si="0"/>
        <v>134.358</v>
      </c>
      <c r="G66" s="27">
        <f t="shared" si="1"/>
        <v>67.179000000000002</v>
      </c>
      <c r="H66" s="25">
        <f t="shared" si="2"/>
        <v>181.38330000000002</v>
      </c>
    </row>
    <row r="67" spans="1:8" ht="30" hidden="1" customHeight="1" x14ac:dyDescent="0.25">
      <c r="A67" s="18" t="s">
        <v>769</v>
      </c>
      <c r="B67" s="18" t="s">
        <v>306</v>
      </c>
      <c r="C67" s="18" t="s">
        <v>785</v>
      </c>
      <c r="D67" s="18" t="s">
        <v>18</v>
      </c>
      <c r="E67" s="19">
        <v>137.1</v>
      </c>
      <c r="F67" s="9">
        <f t="shared" ref="F67:F130" si="3">E67*0.98</f>
        <v>134.358</v>
      </c>
      <c r="G67" s="27">
        <f t="shared" ref="G67:G130" si="4">F67/2</f>
        <v>67.179000000000002</v>
      </c>
      <c r="H67" s="25">
        <f t="shared" ref="H67:H130" si="5">F67*1.35</f>
        <v>181.38330000000002</v>
      </c>
    </row>
    <row r="68" spans="1:8" ht="30" hidden="1" customHeight="1" x14ac:dyDescent="0.25">
      <c r="A68" s="16" t="s">
        <v>769</v>
      </c>
      <c r="B68" s="16" t="s">
        <v>306</v>
      </c>
      <c r="C68" s="16" t="s">
        <v>786</v>
      </c>
      <c r="D68" s="16" t="s">
        <v>18</v>
      </c>
      <c r="E68" s="17">
        <v>137.1</v>
      </c>
      <c r="F68" s="9">
        <f t="shared" si="3"/>
        <v>134.358</v>
      </c>
      <c r="G68" s="27">
        <f t="shared" si="4"/>
        <v>67.179000000000002</v>
      </c>
      <c r="H68" s="25">
        <f t="shared" si="5"/>
        <v>181.38330000000002</v>
      </c>
    </row>
    <row r="69" spans="1:8" ht="30" hidden="1" customHeight="1" x14ac:dyDescent="0.25">
      <c r="A69" s="18" t="s">
        <v>769</v>
      </c>
      <c r="B69" s="18" t="s">
        <v>306</v>
      </c>
      <c r="C69" s="18" t="s">
        <v>787</v>
      </c>
      <c r="D69" s="18">
        <v>2.2000000000000002</v>
      </c>
      <c r="E69" s="19">
        <v>137.1</v>
      </c>
      <c r="F69" s="9">
        <f t="shared" si="3"/>
        <v>134.358</v>
      </c>
      <c r="G69" s="27">
        <f t="shared" si="4"/>
        <v>67.179000000000002</v>
      </c>
      <c r="H69" s="25">
        <f t="shared" si="5"/>
        <v>181.38330000000002</v>
      </c>
    </row>
    <row r="70" spans="1:8" ht="30" hidden="1" customHeight="1" x14ac:dyDescent="0.25">
      <c r="A70" s="16" t="s">
        <v>769</v>
      </c>
      <c r="B70" s="16" t="s">
        <v>25</v>
      </c>
      <c r="C70" s="16" t="s">
        <v>788</v>
      </c>
      <c r="D70" s="16">
        <v>2</v>
      </c>
      <c r="E70" s="17">
        <v>137.1</v>
      </c>
      <c r="F70" s="9">
        <f t="shared" si="3"/>
        <v>134.358</v>
      </c>
      <c r="G70" s="27">
        <f t="shared" si="4"/>
        <v>67.179000000000002</v>
      </c>
      <c r="H70" s="25">
        <f t="shared" si="5"/>
        <v>181.38330000000002</v>
      </c>
    </row>
    <row r="71" spans="1:8" ht="30" hidden="1" customHeight="1" x14ac:dyDescent="0.25">
      <c r="A71" s="18" t="s">
        <v>769</v>
      </c>
      <c r="B71" s="18" t="s">
        <v>25</v>
      </c>
      <c r="C71" s="18" t="s">
        <v>789</v>
      </c>
      <c r="D71" s="18">
        <v>3.2</v>
      </c>
      <c r="E71" s="19">
        <v>137.1</v>
      </c>
      <c r="F71" s="9">
        <f t="shared" si="3"/>
        <v>134.358</v>
      </c>
      <c r="G71" s="27">
        <f t="shared" si="4"/>
        <v>67.179000000000002</v>
      </c>
      <c r="H71" s="25">
        <f t="shared" si="5"/>
        <v>181.38330000000002</v>
      </c>
    </row>
    <row r="72" spans="1:8" ht="30" customHeight="1" x14ac:dyDescent="0.25">
      <c r="A72" s="16" t="s">
        <v>790</v>
      </c>
      <c r="B72" s="16" t="s">
        <v>72</v>
      </c>
      <c r="C72" s="16" t="s">
        <v>791</v>
      </c>
      <c r="D72" s="16">
        <v>2.4</v>
      </c>
      <c r="E72" s="17">
        <v>182.12</v>
      </c>
      <c r="F72" s="9">
        <f t="shared" si="3"/>
        <v>178.4776</v>
      </c>
      <c r="G72" s="27">
        <f t="shared" si="4"/>
        <v>89.238799999999998</v>
      </c>
      <c r="H72" s="25">
        <f t="shared" si="5"/>
        <v>240.94476</v>
      </c>
    </row>
    <row r="73" spans="1:8" ht="30" customHeight="1" x14ac:dyDescent="0.25">
      <c r="A73" s="18" t="s">
        <v>790</v>
      </c>
      <c r="B73" s="18" t="s">
        <v>336</v>
      </c>
      <c r="C73" s="18" t="s">
        <v>792</v>
      </c>
      <c r="D73" s="18">
        <v>1.8</v>
      </c>
      <c r="E73" s="19">
        <v>182.12</v>
      </c>
      <c r="F73" s="9">
        <f t="shared" si="3"/>
        <v>178.4776</v>
      </c>
      <c r="G73" s="27">
        <f t="shared" si="4"/>
        <v>89.238799999999998</v>
      </c>
      <c r="H73" s="25">
        <f t="shared" si="5"/>
        <v>240.94476</v>
      </c>
    </row>
    <row r="74" spans="1:8" ht="30" customHeight="1" x14ac:dyDescent="0.25">
      <c r="A74" s="16" t="s">
        <v>790</v>
      </c>
      <c r="B74" s="16" t="s">
        <v>336</v>
      </c>
      <c r="C74" s="16" t="s">
        <v>793</v>
      </c>
      <c r="D74" s="16" t="s">
        <v>18</v>
      </c>
      <c r="E74" s="17">
        <v>182.12</v>
      </c>
      <c r="F74" s="9">
        <f t="shared" si="3"/>
        <v>178.4776</v>
      </c>
      <c r="G74" s="27">
        <f t="shared" si="4"/>
        <v>89.238799999999998</v>
      </c>
      <c r="H74" s="25">
        <f t="shared" si="5"/>
        <v>240.94476</v>
      </c>
    </row>
    <row r="75" spans="1:8" ht="30" customHeight="1" x14ac:dyDescent="0.25">
      <c r="A75" s="18" t="s">
        <v>790</v>
      </c>
      <c r="B75" s="18" t="s">
        <v>336</v>
      </c>
      <c r="C75" s="18" t="s">
        <v>794</v>
      </c>
      <c r="D75" s="18" t="s">
        <v>18</v>
      </c>
      <c r="E75" s="19">
        <v>182.12</v>
      </c>
      <c r="F75" s="9">
        <f t="shared" si="3"/>
        <v>178.4776</v>
      </c>
      <c r="G75" s="27">
        <f t="shared" si="4"/>
        <v>89.238799999999998</v>
      </c>
      <c r="H75" s="25">
        <f t="shared" si="5"/>
        <v>240.94476</v>
      </c>
    </row>
    <row r="76" spans="1:8" ht="30" customHeight="1" x14ac:dyDescent="0.25">
      <c r="A76" s="16" t="s">
        <v>790</v>
      </c>
      <c r="B76" s="16" t="s">
        <v>336</v>
      </c>
      <c r="C76" s="16" t="s">
        <v>795</v>
      </c>
      <c r="D76" s="16">
        <v>1.8</v>
      </c>
      <c r="E76" s="17">
        <v>182.12</v>
      </c>
      <c r="F76" s="9">
        <f t="shared" si="3"/>
        <v>178.4776</v>
      </c>
      <c r="G76" s="27">
        <f t="shared" si="4"/>
        <v>89.238799999999998</v>
      </c>
      <c r="H76" s="25">
        <f t="shared" si="5"/>
        <v>240.94476</v>
      </c>
    </row>
    <row r="77" spans="1:8" ht="30" customHeight="1" x14ac:dyDescent="0.25">
      <c r="A77" s="18" t="s">
        <v>790</v>
      </c>
      <c r="B77" s="18" t="s">
        <v>336</v>
      </c>
      <c r="C77" s="18" t="s">
        <v>796</v>
      </c>
      <c r="D77" s="18">
        <v>3.2</v>
      </c>
      <c r="E77" s="19">
        <v>182.12</v>
      </c>
      <c r="F77" s="9">
        <f t="shared" si="3"/>
        <v>178.4776</v>
      </c>
      <c r="G77" s="27">
        <f t="shared" si="4"/>
        <v>89.238799999999998</v>
      </c>
      <c r="H77" s="25">
        <f t="shared" si="5"/>
        <v>240.94476</v>
      </c>
    </row>
    <row r="78" spans="1:8" ht="30" customHeight="1" x14ac:dyDescent="0.25">
      <c r="A78" s="16" t="s">
        <v>790</v>
      </c>
      <c r="B78" s="16" t="s">
        <v>336</v>
      </c>
      <c r="C78" s="16" t="s">
        <v>797</v>
      </c>
      <c r="D78" s="16">
        <v>1.8</v>
      </c>
      <c r="E78" s="17">
        <v>182.12</v>
      </c>
      <c r="F78" s="9">
        <f t="shared" si="3"/>
        <v>178.4776</v>
      </c>
      <c r="G78" s="27">
        <f t="shared" si="4"/>
        <v>89.238799999999998</v>
      </c>
      <c r="H78" s="25">
        <f t="shared" si="5"/>
        <v>240.94476</v>
      </c>
    </row>
    <row r="79" spans="1:8" ht="30" customHeight="1" x14ac:dyDescent="0.25">
      <c r="A79" s="18" t="s">
        <v>790</v>
      </c>
      <c r="B79" s="18" t="s">
        <v>358</v>
      </c>
      <c r="C79" s="18" t="s">
        <v>798</v>
      </c>
      <c r="D79" s="18">
        <v>2</v>
      </c>
      <c r="E79" s="19">
        <v>182.12</v>
      </c>
      <c r="F79" s="9">
        <f t="shared" si="3"/>
        <v>178.4776</v>
      </c>
      <c r="G79" s="27">
        <f t="shared" si="4"/>
        <v>89.238799999999998</v>
      </c>
      <c r="H79" s="25">
        <f t="shared" si="5"/>
        <v>240.94476</v>
      </c>
    </row>
    <row r="80" spans="1:8" ht="30" customHeight="1" x14ac:dyDescent="0.25">
      <c r="A80" s="16" t="s">
        <v>790</v>
      </c>
      <c r="B80" s="16" t="s">
        <v>358</v>
      </c>
      <c r="C80" s="16" t="s">
        <v>799</v>
      </c>
      <c r="D80" s="16">
        <v>2.2000000000000002</v>
      </c>
      <c r="E80" s="17">
        <v>182.12</v>
      </c>
      <c r="F80" s="9">
        <f t="shared" si="3"/>
        <v>178.4776</v>
      </c>
      <c r="G80" s="27">
        <f t="shared" si="4"/>
        <v>89.238799999999998</v>
      </c>
      <c r="H80" s="25">
        <f t="shared" si="5"/>
        <v>240.94476</v>
      </c>
    </row>
    <row r="81" spans="1:8" ht="30" customHeight="1" x14ac:dyDescent="0.25">
      <c r="A81" s="18" t="s">
        <v>790</v>
      </c>
      <c r="B81" s="18" t="s">
        <v>358</v>
      </c>
      <c r="C81" s="18" t="s">
        <v>800</v>
      </c>
      <c r="D81" s="18">
        <v>2.5</v>
      </c>
      <c r="E81" s="19">
        <v>182.12</v>
      </c>
      <c r="F81" s="9">
        <f t="shared" si="3"/>
        <v>178.4776</v>
      </c>
      <c r="G81" s="27">
        <f t="shared" si="4"/>
        <v>89.238799999999998</v>
      </c>
      <c r="H81" s="25">
        <f t="shared" si="5"/>
        <v>240.94476</v>
      </c>
    </row>
    <row r="82" spans="1:8" ht="30" customHeight="1" x14ac:dyDescent="0.25">
      <c r="A82" s="16" t="s">
        <v>790</v>
      </c>
      <c r="B82" s="16" t="s">
        <v>358</v>
      </c>
      <c r="C82" s="16" t="s">
        <v>801</v>
      </c>
      <c r="D82" s="16" t="s">
        <v>18</v>
      </c>
      <c r="E82" s="17">
        <v>182.12</v>
      </c>
      <c r="F82" s="9">
        <f t="shared" si="3"/>
        <v>178.4776</v>
      </c>
      <c r="G82" s="27">
        <f t="shared" si="4"/>
        <v>89.238799999999998</v>
      </c>
      <c r="H82" s="25">
        <f t="shared" si="5"/>
        <v>240.94476</v>
      </c>
    </row>
    <row r="83" spans="1:8" ht="30" customHeight="1" x14ac:dyDescent="0.25">
      <c r="A83" s="18" t="s">
        <v>790</v>
      </c>
      <c r="B83" s="18" t="s">
        <v>358</v>
      </c>
      <c r="C83" s="18" t="s">
        <v>802</v>
      </c>
      <c r="D83" s="18">
        <v>2.5</v>
      </c>
      <c r="E83" s="19">
        <v>182.12</v>
      </c>
      <c r="F83" s="9">
        <f t="shared" si="3"/>
        <v>178.4776</v>
      </c>
      <c r="G83" s="27">
        <f t="shared" si="4"/>
        <v>89.238799999999998</v>
      </c>
      <c r="H83" s="25">
        <f t="shared" si="5"/>
        <v>240.94476</v>
      </c>
    </row>
    <row r="84" spans="1:8" ht="30" customHeight="1" x14ac:dyDescent="0.25">
      <c r="A84" s="16" t="s">
        <v>790</v>
      </c>
      <c r="B84" s="16" t="s">
        <v>358</v>
      </c>
      <c r="C84" s="16" t="s">
        <v>803</v>
      </c>
      <c r="D84" s="16">
        <v>2</v>
      </c>
      <c r="E84" s="17">
        <v>182.12</v>
      </c>
      <c r="F84" s="9">
        <f t="shared" si="3"/>
        <v>178.4776</v>
      </c>
      <c r="G84" s="27">
        <f t="shared" si="4"/>
        <v>89.238799999999998</v>
      </c>
      <c r="H84" s="25">
        <f t="shared" si="5"/>
        <v>240.94476</v>
      </c>
    </row>
    <row r="85" spans="1:8" ht="30" customHeight="1" x14ac:dyDescent="0.25">
      <c r="A85" s="18" t="s">
        <v>790</v>
      </c>
      <c r="B85" s="18" t="s">
        <v>358</v>
      </c>
      <c r="C85" s="18" t="s">
        <v>804</v>
      </c>
      <c r="D85" s="18">
        <v>2</v>
      </c>
      <c r="E85" s="19">
        <v>182.12</v>
      </c>
      <c r="F85" s="9">
        <f t="shared" si="3"/>
        <v>178.4776</v>
      </c>
      <c r="G85" s="27">
        <f t="shared" si="4"/>
        <v>89.238799999999998</v>
      </c>
      <c r="H85" s="25">
        <f t="shared" si="5"/>
        <v>240.94476</v>
      </c>
    </row>
    <row r="86" spans="1:8" ht="30" customHeight="1" x14ac:dyDescent="0.25">
      <c r="A86" s="16" t="s">
        <v>790</v>
      </c>
      <c r="B86" s="16" t="s">
        <v>155</v>
      </c>
      <c r="C86" s="16" t="s">
        <v>805</v>
      </c>
      <c r="D86" s="16">
        <v>3.2</v>
      </c>
      <c r="E86" s="17">
        <v>182.12</v>
      </c>
      <c r="F86" s="9">
        <f t="shared" si="3"/>
        <v>178.4776</v>
      </c>
      <c r="G86" s="27">
        <f t="shared" si="4"/>
        <v>89.238799999999998</v>
      </c>
      <c r="H86" s="25">
        <f t="shared" si="5"/>
        <v>240.94476</v>
      </c>
    </row>
    <row r="87" spans="1:8" ht="30" customHeight="1" x14ac:dyDescent="0.25">
      <c r="A87" s="18" t="s">
        <v>790</v>
      </c>
      <c r="B87" s="18" t="s">
        <v>49</v>
      </c>
      <c r="C87" s="18" t="s">
        <v>806</v>
      </c>
      <c r="D87" s="18">
        <v>2</v>
      </c>
      <c r="E87" s="19">
        <v>182.12</v>
      </c>
      <c r="F87" s="9">
        <f t="shared" si="3"/>
        <v>178.4776</v>
      </c>
      <c r="G87" s="27">
        <f t="shared" si="4"/>
        <v>89.238799999999998</v>
      </c>
      <c r="H87" s="25">
        <f t="shared" si="5"/>
        <v>240.94476</v>
      </c>
    </row>
    <row r="88" spans="1:8" ht="30" customHeight="1" x14ac:dyDescent="0.25">
      <c r="A88" s="16" t="s">
        <v>790</v>
      </c>
      <c r="B88" s="16" t="s">
        <v>202</v>
      </c>
      <c r="C88" s="16" t="s">
        <v>203</v>
      </c>
      <c r="D88" s="16">
        <v>3.3</v>
      </c>
      <c r="E88" s="17">
        <v>182.12</v>
      </c>
      <c r="F88" s="9">
        <f t="shared" si="3"/>
        <v>178.4776</v>
      </c>
      <c r="G88" s="27">
        <f t="shared" si="4"/>
        <v>89.238799999999998</v>
      </c>
      <c r="H88" s="25">
        <f t="shared" si="5"/>
        <v>240.94476</v>
      </c>
    </row>
    <row r="89" spans="1:8" ht="30" customHeight="1" x14ac:dyDescent="0.25">
      <c r="A89" s="18" t="s">
        <v>790</v>
      </c>
      <c r="B89" s="18" t="s">
        <v>306</v>
      </c>
      <c r="C89" s="18" t="s">
        <v>807</v>
      </c>
      <c r="D89" s="18">
        <v>2</v>
      </c>
      <c r="E89" s="19">
        <v>182.12</v>
      </c>
      <c r="F89" s="9">
        <f t="shared" si="3"/>
        <v>178.4776</v>
      </c>
      <c r="G89" s="27">
        <f t="shared" si="4"/>
        <v>89.238799999999998</v>
      </c>
      <c r="H89" s="25">
        <f t="shared" si="5"/>
        <v>240.94476</v>
      </c>
    </row>
    <row r="90" spans="1:8" ht="30" customHeight="1" x14ac:dyDescent="0.25">
      <c r="A90" s="16" t="s">
        <v>790</v>
      </c>
      <c r="B90" s="16" t="s">
        <v>306</v>
      </c>
      <c r="C90" s="16" t="s">
        <v>808</v>
      </c>
      <c r="D90" s="16">
        <v>2.1</v>
      </c>
      <c r="E90" s="17">
        <v>182.12</v>
      </c>
      <c r="F90" s="9">
        <f t="shared" si="3"/>
        <v>178.4776</v>
      </c>
      <c r="G90" s="27">
        <f t="shared" si="4"/>
        <v>89.238799999999998</v>
      </c>
      <c r="H90" s="25">
        <f t="shared" si="5"/>
        <v>240.94476</v>
      </c>
    </row>
    <row r="91" spans="1:8" ht="30" customHeight="1" x14ac:dyDescent="0.25">
      <c r="A91" s="18" t="s">
        <v>790</v>
      </c>
      <c r="B91" s="18" t="s">
        <v>306</v>
      </c>
      <c r="C91" s="18" t="s">
        <v>809</v>
      </c>
      <c r="D91" s="18">
        <v>2</v>
      </c>
      <c r="E91" s="19">
        <v>182.12</v>
      </c>
      <c r="F91" s="9">
        <f t="shared" si="3"/>
        <v>178.4776</v>
      </c>
      <c r="G91" s="27">
        <f t="shared" si="4"/>
        <v>89.238799999999998</v>
      </c>
      <c r="H91" s="25">
        <f t="shared" si="5"/>
        <v>240.94476</v>
      </c>
    </row>
    <row r="92" spans="1:8" ht="30" customHeight="1" x14ac:dyDescent="0.25">
      <c r="A92" s="16" t="s">
        <v>790</v>
      </c>
      <c r="B92" s="16" t="s">
        <v>306</v>
      </c>
      <c r="C92" s="16" t="s">
        <v>810</v>
      </c>
      <c r="D92" s="16">
        <v>1.8</v>
      </c>
      <c r="E92" s="17">
        <v>182.12</v>
      </c>
      <c r="F92" s="9">
        <f t="shared" si="3"/>
        <v>178.4776</v>
      </c>
      <c r="G92" s="27">
        <f t="shared" si="4"/>
        <v>89.238799999999998</v>
      </c>
      <c r="H92" s="25">
        <f t="shared" si="5"/>
        <v>240.94476</v>
      </c>
    </row>
    <row r="93" spans="1:8" ht="30" customHeight="1" x14ac:dyDescent="0.25">
      <c r="A93" s="18" t="s">
        <v>790</v>
      </c>
      <c r="B93" s="18" t="s">
        <v>306</v>
      </c>
      <c r="C93" s="18" t="s">
        <v>811</v>
      </c>
      <c r="D93" s="18" t="s">
        <v>18</v>
      </c>
      <c r="E93" s="19">
        <v>182.12</v>
      </c>
      <c r="F93" s="9">
        <f t="shared" si="3"/>
        <v>178.4776</v>
      </c>
      <c r="G93" s="27">
        <f t="shared" si="4"/>
        <v>89.238799999999998</v>
      </c>
      <c r="H93" s="25">
        <f t="shared" si="5"/>
        <v>240.94476</v>
      </c>
    </row>
    <row r="94" spans="1:8" ht="30" customHeight="1" x14ac:dyDescent="0.25">
      <c r="A94" s="16" t="s">
        <v>790</v>
      </c>
      <c r="B94" s="16" t="s">
        <v>306</v>
      </c>
      <c r="C94" s="16" t="s">
        <v>812</v>
      </c>
      <c r="D94" s="16">
        <v>1.8</v>
      </c>
      <c r="E94" s="17">
        <v>182.12</v>
      </c>
      <c r="F94" s="9">
        <f t="shared" si="3"/>
        <v>178.4776</v>
      </c>
      <c r="G94" s="27">
        <f t="shared" si="4"/>
        <v>89.238799999999998</v>
      </c>
      <c r="H94" s="25">
        <f t="shared" si="5"/>
        <v>240.94476</v>
      </c>
    </row>
    <row r="95" spans="1:8" ht="30" customHeight="1" x14ac:dyDescent="0.25">
      <c r="A95" s="18" t="s">
        <v>790</v>
      </c>
      <c r="B95" s="18" t="s">
        <v>88</v>
      </c>
      <c r="C95" s="18" t="s">
        <v>813</v>
      </c>
      <c r="D95" s="18">
        <v>2</v>
      </c>
      <c r="E95" s="19">
        <v>182.12</v>
      </c>
      <c r="F95" s="9">
        <f t="shared" si="3"/>
        <v>178.4776</v>
      </c>
      <c r="G95" s="27">
        <f t="shared" si="4"/>
        <v>89.238799999999998</v>
      </c>
      <c r="H95" s="25">
        <f t="shared" si="5"/>
        <v>240.94476</v>
      </c>
    </row>
    <row r="96" spans="1:8" ht="30" customHeight="1" x14ac:dyDescent="0.25">
      <c r="A96" s="16" t="s">
        <v>790</v>
      </c>
      <c r="B96" s="16" t="s">
        <v>179</v>
      </c>
      <c r="C96" s="16" t="s">
        <v>814</v>
      </c>
      <c r="D96" s="16">
        <v>2.5</v>
      </c>
      <c r="E96" s="17">
        <v>182.12</v>
      </c>
      <c r="F96" s="9">
        <f t="shared" si="3"/>
        <v>178.4776</v>
      </c>
      <c r="G96" s="27">
        <f t="shared" si="4"/>
        <v>89.238799999999998</v>
      </c>
      <c r="H96" s="25">
        <f t="shared" si="5"/>
        <v>240.94476</v>
      </c>
    </row>
    <row r="97" spans="1:8" ht="30" customHeight="1" x14ac:dyDescent="0.25">
      <c r="A97" s="18" t="s">
        <v>790</v>
      </c>
      <c r="B97" s="18" t="s">
        <v>398</v>
      </c>
      <c r="C97" s="18" t="s">
        <v>815</v>
      </c>
      <c r="D97" s="18">
        <v>2</v>
      </c>
      <c r="E97" s="19">
        <v>182.12</v>
      </c>
      <c r="F97" s="9">
        <f t="shared" si="3"/>
        <v>178.4776</v>
      </c>
      <c r="G97" s="27">
        <f t="shared" si="4"/>
        <v>89.238799999999998</v>
      </c>
      <c r="H97" s="25">
        <f t="shared" si="5"/>
        <v>240.94476</v>
      </c>
    </row>
    <row r="98" spans="1:8" ht="30" customHeight="1" x14ac:dyDescent="0.25">
      <c r="A98" s="16" t="s">
        <v>816</v>
      </c>
      <c r="B98" s="16" t="s">
        <v>72</v>
      </c>
      <c r="C98" s="16" t="s">
        <v>817</v>
      </c>
      <c r="D98" s="16">
        <v>3.2</v>
      </c>
      <c r="E98" s="17">
        <v>204.2</v>
      </c>
      <c r="F98" s="9">
        <f t="shared" si="3"/>
        <v>200.11599999999999</v>
      </c>
      <c r="G98" s="27">
        <f t="shared" si="4"/>
        <v>100.05799999999999</v>
      </c>
      <c r="H98" s="25">
        <f t="shared" si="5"/>
        <v>270.15660000000003</v>
      </c>
    </row>
    <row r="99" spans="1:8" ht="30" customHeight="1" x14ac:dyDescent="0.25">
      <c r="A99" s="18" t="s">
        <v>816</v>
      </c>
      <c r="B99" s="18" t="s">
        <v>72</v>
      </c>
      <c r="C99" s="18" t="s">
        <v>818</v>
      </c>
      <c r="D99" s="18">
        <v>3.2</v>
      </c>
      <c r="E99" s="19">
        <v>204.2</v>
      </c>
      <c r="F99" s="9">
        <f t="shared" si="3"/>
        <v>200.11599999999999</v>
      </c>
      <c r="G99" s="27">
        <f t="shared" si="4"/>
        <v>100.05799999999999</v>
      </c>
      <c r="H99" s="25">
        <f t="shared" si="5"/>
        <v>270.15660000000003</v>
      </c>
    </row>
    <row r="100" spans="1:8" ht="30" customHeight="1" x14ac:dyDescent="0.25">
      <c r="A100" s="16" t="s">
        <v>816</v>
      </c>
      <c r="B100" s="16" t="s">
        <v>336</v>
      </c>
      <c r="C100" s="16" t="s">
        <v>819</v>
      </c>
      <c r="D100" s="16">
        <v>2.4</v>
      </c>
      <c r="E100" s="17">
        <v>204.2</v>
      </c>
      <c r="F100" s="9">
        <f t="shared" si="3"/>
        <v>200.11599999999999</v>
      </c>
      <c r="G100" s="27">
        <f t="shared" si="4"/>
        <v>100.05799999999999</v>
      </c>
      <c r="H100" s="25">
        <f t="shared" si="5"/>
        <v>270.15660000000003</v>
      </c>
    </row>
    <row r="101" spans="1:8" ht="30" customHeight="1" x14ac:dyDescent="0.25">
      <c r="A101" s="18" t="s">
        <v>816</v>
      </c>
      <c r="B101" s="18" t="s">
        <v>336</v>
      </c>
      <c r="C101" s="18" t="s">
        <v>820</v>
      </c>
      <c r="D101" s="18">
        <v>2.5</v>
      </c>
      <c r="E101" s="19">
        <v>204.2</v>
      </c>
      <c r="F101" s="9">
        <f t="shared" si="3"/>
        <v>200.11599999999999</v>
      </c>
      <c r="G101" s="27">
        <f t="shared" si="4"/>
        <v>100.05799999999999</v>
      </c>
      <c r="H101" s="25">
        <f t="shared" si="5"/>
        <v>270.15660000000003</v>
      </c>
    </row>
    <row r="102" spans="1:8" ht="30" customHeight="1" x14ac:dyDescent="0.25">
      <c r="A102" s="16" t="s">
        <v>816</v>
      </c>
      <c r="B102" s="16" t="s">
        <v>336</v>
      </c>
      <c r="C102" s="16" t="s">
        <v>821</v>
      </c>
      <c r="D102" s="16">
        <v>1.8</v>
      </c>
      <c r="E102" s="17">
        <v>204.2</v>
      </c>
      <c r="F102" s="9">
        <f t="shared" si="3"/>
        <v>200.11599999999999</v>
      </c>
      <c r="G102" s="27">
        <f t="shared" si="4"/>
        <v>100.05799999999999</v>
      </c>
      <c r="H102" s="25">
        <f t="shared" si="5"/>
        <v>270.15660000000003</v>
      </c>
    </row>
    <row r="103" spans="1:8" ht="30" customHeight="1" x14ac:dyDescent="0.25">
      <c r="A103" s="18" t="s">
        <v>816</v>
      </c>
      <c r="B103" s="18" t="s">
        <v>336</v>
      </c>
      <c r="C103" s="18" t="s">
        <v>822</v>
      </c>
      <c r="D103" s="18">
        <v>2</v>
      </c>
      <c r="E103" s="19">
        <v>204.2</v>
      </c>
      <c r="F103" s="9">
        <f t="shared" si="3"/>
        <v>200.11599999999999</v>
      </c>
      <c r="G103" s="27">
        <f t="shared" si="4"/>
        <v>100.05799999999999</v>
      </c>
      <c r="H103" s="25">
        <f t="shared" si="5"/>
        <v>270.15660000000003</v>
      </c>
    </row>
    <row r="104" spans="1:8" ht="30" customHeight="1" x14ac:dyDescent="0.25">
      <c r="A104" s="16" t="s">
        <v>816</v>
      </c>
      <c r="B104" s="16" t="s">
        <v>336</v>
      </c>
      <c r="C104" s="16" t="s">
        <v>823</v>
      </c>
      <c r="D104" s="16">
        <v>2</v>
      </c>
      <c r="E104" s="17">
        <v>204.2</v>
      </c>
      <c r="F104" s="9">
        <f t="shared" si="3"/>
        <v>200.11599999999999</v>
      </c>
      <c r="G104" s="27">
        <f t="shared" si="4"/>
        <v>100.05799999999999</v>
      </c>
      <c r="H104" s="25">
        <f t="shared" si="5"/>
        <v>270.15660000000003</v>
      </c>
    </row>
    <row r="105" spans="1:8" ht="30" customHeight="1" x14ac:dyDescent="0.25">
      <c r="A105" s="18" t="s">
        <v>816</v>
      </c>
      <c r="B105" s="18" t="s">
        <v>336</v>
      </c>
      <c r="C105" s="18" t="s">
        <v>824</v>
      </c>
      <c r="D105" s="18" t="s">
        <v>18</v>
      </c>
      <c r="E105" s="19">
        <v>204.2</v>
      </c>
      <c r="F105" s="9">
        <f t="shared" si="3"/>
        <v>200.11599999999999</v>
      </c>
      <c r="G105" s="27">
        <f t="shared" si="4"/>
        <v>100.05799999999999</v>
      </c>
      <c r="H105" s="25">
        <f t="shared" si="5"/>
        <v>270.15660000000003</v>
      </c>
    </row>
    <row r="106" spans="1:8" ht="30" customHeight="1" x14ac:dyDescent="0.25">
      <c r="A106" s="16" t="s">
        <v>816</v>
      </c>
      <c r="B106" s="16" t="s">
        <v>336</v>
      </c>
      <c r="C106" s="16" t="s">
        <v>825</v>
      </c>
      <c r="D106" s="16">
        <v>3</v>
      </c>
      <c r="E106" s="17">
        <v>204.2</v>
      </c>
      <c r="F106" s="9">
        <f t="shared" si="3"/>
        <v>200.11599999999999</v>
      </c>
      <c r="G106" s="27">
        <f t="shared" si="4"/>
        <v>100.05799999999999</v>
      </c>
      <c r="H106" s="25">
        <f t="shared" si="5"/>
        <v>270.15660000000003</v>
      </c>
    </row>
    <row r="107" spans="1:8" ht="30" customHeight="1" x14ac:dyDescent="0.25">
      <c r="A107" s="18" t="s">
        <v>816</v>
      </c>
      <c r="B107" s="18" t="s">
        <v>336</v>
      </c>
      <c r="C107" s="18" t="s">
        <v>826</v>
      </c>
      <c r="D107" s="18">
        <v>3.2</v>
      </c>
      <c r="E107" s="19">
        <v>204.2</v>
      </c>
      <c r="F107" s="9">
        <f t="shared" si="3"/>
        <v>200.11599999999999</v>
      </c>
      <c r="G107" s="27">
        <f t="shared" si="4"/>
        <v>100.05799999999999</v>
      </c>
      <c r="H107" s="25">
        <f t="shared" si="5"/>
        <v>270.15660000000003</v>
      </c>
    </row>
    <row r="108" spans="1:8" ht="30" customHeight="1" x14ac:dyDescent="0.25">
      <c r="A108" s="16" t="s">
        <v>816</v>
      </c>
      <c r="B108" s="16" t="s">
        <v>358</v>
      </c>
      <c r="C108" s="16" t="s">
        <v>827</v>
      </c>
      <c r="D108" s="16" t="s">
        <v>18</v>
      </c>
      <c r="E108" s="17">
        <v>204.2</v>
      </c>
      <c r="F108" s="9">
        <f t="shared" si="3"/>
        <v>200.11599999999999</v>
      </c>
      <c r="G108" s="27">
        <f t="shared" si="4"/>
        <v>100.05799999999999</v>
      </c>
      <c r="H108" s="25">
        <f t="shared" si="5"/>
        <v>270.15660000000003</v>
      </c>
    </row>
    <row r="109" spans="1:8" ht="30" customHeight="1" x14ac:dyDescent="0.25">
      <c r="A109" s="18" t="s">
        <v>816</v>
      </c>
      <c r="B109" s="18" t="s">
        <v>358</v>
      </c>
      <c r="C109" s="18" t="s">
        <v>828</v>
      </c>
      <c r="D109" s="18" t="s">
        <v>18</v>
      </c>
      <c r="E109" s="19">
        <v>204.2</v>
      </c>
      <c r="F109" s="9">
        <f t="shared" si="3"/>
        <v>200.11599999999999</v>
      </c>
      <c r="G109" s="27">
        <f t="shared" si="4"/>
        <v>100.05799999999999</v>
      </c>
      <c r="H109" s="25">
        <f t="shared" si="5"/>
        <v>270.15660000000003</v>
      </c>
    </row>
    <row r="110" spans="1:8" ht="30" customHeight="1" x14ac:dyDescent="0.25">
      <c r="A110" s="16" t="s">
        <v>816</v>
      </c>
      <c r="B110" s="16" t="s">
        <v>358</v>
      </c>
      <c r="C110" s="16" t="s">
        <v>829</v>
      </c>
      <c r="D110" s="16">
        <v>3.3</v>
      </c>
      <c r="E110" s="17">
        <v>204.2</v>
      </c>
      <c r="F110" s="9">
        <f t="shared" si="3"/>
        <v>200.11599999999999</v>
      </c>
      <c r="G110" s="27">
        <f t="shared" si="4"/>
        <v>100.05799999999999</v>
      </c>
      <c r="H110" s="25">
        <f t="shared" si="5"/>
        <v>270.15660000000003</v>
      </c>
    </row>
    <row r="111" spans="1:8" ht="30" customHeight="1" x14ac:dyDescent="0.25">
      <c r="A111" s="18" t="s">
        <v>816</v>
      </c>
      <c r="B111" s="18" t="s">
        <v>358</v>
      </c>
      <c r="C111" s="18" t="s">
        <v>830</v>
      </c>
      <c r="D111" s="18">
        <v>2</v>
      </c>
      <c r="E111" s="19">
        <v>204.2</v>
      </c>
      <c r="F111" s="9">
        <f t="shared" si="3"/>
        <v>200.11599999999999</v>
      </c>
      <c r="G111" s="27">
        <f t="shared" si="4"/>
        <v>100.05799999999999</v>
      </c>
      <c r="H111" s="25">
        <f t="shared" si="5"/>
        <v>270.15660000000003</v>
      </c>
    </row>
    <row r="112" spans="1:8" ht="30" customHeight="1" x14ac:dyDescent="0.25">
      <c r="A112" s="16" t="s">
        <v>816</v>
      </c>
      <c r="B112" s="16" t="s">
        <v>358</v>
      </c>
      <c r="C112" s="16" t="s">
        <v>831</v>
      </c>
      <c r="D112" s="16">
        <v>3</v>
      </c>
      <c r="E112" s="17">
        <v>204.2</v>
      </c>
      <c r="F112" s="9">
        <f t="shared" si="3"/>
        <v>200.11599999999999</v>
      </c>
      <c r="G112" s="27">
        <f t="shared" si="4"/>
        <v>100.05799999999999</v>
      </c>
      <c r="H112" s="25">
        <f t="shared" si="5"/>
        <v>270.15660000000003</v>
      </c>
    </row>
    <row r="113" spans="1:8" ht="30" customHeight="1" x14ac:dyDescent="0.25">
      <c r="A113" s="18" t="s">
        <v>816</v>
      </c>
      <c r="B113" s="18" t="s">
        <v>435</v>
      </c>
      <c r="C113" s="18" t="s">
        <v>832</v>
      </c>
      <c r="D113" s="18" t="s">
        <v>18</v>
      </c>
      <c r="E113" s="19">
        <v>204.2</v>
      </c>
      <c r="F113" s="9">
        <f t="shared" si="3"/>
        <v>200.11599999999999</v>
      </c>
      <c r="G113" s="27">
        <f t="shared" si="4"/>
        <v>100.05799999999999</v>
      </c>
      <c r="H113" s="25">
        <f t="shared" si="5"/>
        <v>270.15660000000003</v>
      </c>
    </row>
    <row r="114" spans="1:8" ht="30" customHeight="1" x14ac:dyDescent="0.25">
      <c r="A114" s="16" t="s">
        <v>816</v>
      </c>
      <c r="B114" s="16" t="s">
        <v>306</v>
      </c>
      <c r="C114" s="16" t="s">
        <v>833</v>
      </c>
      <c r="D114" s="16" t="s">
        <v>18</v>
      </c>
      <c r="E114" s="17">
        <v>204.2</v>
      </c>
      <c r="F114" s="9">
        <f t="shared" si="3"/>
        <v>200.11599999999999</v>
      </c>
      <c r="G114" s="27">
        <f t="shared" si="4"/>
        <v>100.05799999999999</v>
      </c>
      <c r="H114" s="25">
        <f t="shared" si="5"/>
        <v>270.15660000000003</v>
      </c>
    </row>
    <row r="115" spans="1:8" ht="30" customHeight="1" x14ac:dyDescent="0.25">
      <c r="A115" s="18" t="s">
        <v>816</v>
      </c>
      <c r="B115" s="18" t="s">
        <v>306</v>
      </c>
      <c r="C115" s="18" t="s">
        <v>834</v>
      </c>
      <c r="D115" s="18">
        <v>2</v>
      </c>
      <c r="E115" s="19">
        <v>204.2</v>
      </c>
      <c r="F115" s="9">
        <f t="shared" si="3"/>
        <v>200.11599999999999</v>
      </c>
      <c r="G115" s="27">
        <f t="shared" si="4"/>
        <v>100.05799999999999</v>
      </c>
      <c r="H115" s="25">
        <f t="shared" si="5"/>
        <v>270.15660000000003</v>
      </c>
    </row>
    <row r="116" spans="1:8" ht="30" customHeight="1" x14ac:dyDescent="0.25">
      <c r="A116" s="16" t="s">
        <v>816</v>
      </c>
      <c r="B116" s="16" t="s">
        <v>306</v>
      </c>
      <c r="C116" s="16" t="s">
        <v>835</v>
      </c>
      <c r="D116" s="16">
        <v>2.6</v>
      </c>
      <c r="E116" s="17">
        <v>204.2</v>
      </c>
      <c r="F116" s="9">
        <f t="shared" si="3"/>
        <v>200.11599999999999</v>
      </c>
      <c r="G116" s="27">
        <f t="shared" si="4"/>
        <v>100.05799999999999</v>
      </c>
      <c r="H116" s="25">
        <f t="shared" si="5"/>
        <v>270.15660000000003</v>
      </c>
    </row>
    <row r="117" spans="1:8" ht="30" customHeight="1" x14ac:dyDescent="0.25">
      <c r="A117" s="18" t="s">
        <v>816</v>
      </c>
      <c r="B117" s="18" t="s">
        <v>306</v>
      </c>
      <c r="C117" s="18" t="s">
        <v>836</v>
      </c>
      <c r="D117" s="18">
        <v>2.8</v>
      </c>
      <c r="E117" s="19">
        <v>204.2</v>
      </c>
      <c r="F117" s="9">
        <f t="shared" si="3"/>
        <v>200.11599999999999</v>
      </c>
      <c r="G117" s="27">
        <f t="shared" si="4"/>
        <v>100.05799999999999</v>
      </c>
      <c r="H117" s="25">
        <f t="shared" si="5"/>
        <v>270.15660000000003</v>
      </c>
    </row>
    <row r="118" spans="1:8" ht="30" customHeight="1" x14ac:dyDescent="0.25">
      <c r="A118" s="16" t="s">
        <v>816</v>
      </c>
      <c r="B118" s="16" t="s">
        <v>306</v>
      </c>
      <c r="C118" s="16" t="s">
        <v>837</v>
      </c>
      <c r="D118" s="16" t="s">
        <v>18</v>
      </c>
      <c r="E118" s="17">
        <v>204.2</v>
      </c>
      <c r="F118" s="9">
        <f t="shared" si="3"/>
        <v>200.11599999999999</v>
      </c>
      <c r="G118" s="27">
        <f t="shared" si="4"/>
        <v>100.05799999999999</v>
      </c>
      <c r="H118" s="25">
        <f t="shared" si="5"/>
        <v>270.15660000000003</v>
      </c>
    </row>
    <row r="119" spans="1:8" ht="30" customHeight="1" x14ac:dyDescent="0.25">
      <c r="A119" s="18" t="s">
        <v>816</v>
      </c>
      <c r="B119" s="18" t="s">
        <v>306</v>
      </c>
      <c r="C119" s="18" t="s">
        <v>838</v>
      </c>
      <c r="D119" s="18" t="s">
        <v>18</v>
      </c>
      <c r="E119" s="19">
        <v>204.2</v>
      </c>
      <c r="F119" s="9">
        <f t="shared" si="3"/>
        <v>200.11599999999999</v>
      </c>
      <c r="G119" s="27">
        <f t="shared" si="4"/>
        <v>100.05799999999999</v>
      </c>
      <c r="H119" s="25">
        <f t="shared" si="5"/>
        <v>270.15660000000003</v>
      </c>
    </row>
    <row r="120" spans="1:8" ht="30" customHeight="1" x14ac:dyDescent="0.25">
      <c r="A120" s="16" t="s">
        <v>816</v>
      </c>
      <c r="B120" s="16" t="s">
        <v>11</v>
      </c>
      <c r="C120" s="16" t="s">
        <v>839</v>
      </c>
      <c r="D120" s="16">
        <v>3.7</v>
      </c>
      <c r="E120" s="17">
        <v>204.2</v>
      </c>
      <c r="F120" s="9">
        <f t="shared" si="3"/>
        <v>200.11599999999999</v>
      </c>
      <c r="G120" s="27">
        <f t="shared" si="4"/>
        <v>100.05799999999999</v>
      </c>
      <c r="H120" s="25">
        <f t="shared" si="5"/>
        <v>270.15660000000003</v>
      </c>
    </row>
    <row r="121" spans="1:8" ht="30" customHeight="1" x14ac:dyDescent="0.25">
      <c r="A121" s="18" t="s">
        <v>816</v>
      </c>
      <c r="B121" s="18" t="s">
        <v>11</v>
      </c>
      <c r="C121" s="18" t="s">
        <v>840</v>
      </c>
      <c r="D121" s="18">
        <v>3.5</v>
      </c>
      <c r="E121" s="19">
        <v>204.2</v>
      </c>
      <c r="F121" s="9">
        <f t="shared" si="3"/>
        <v>200.11599999999999</v>
      </c>
      <c r="G121" s="27">
        <f t="shared" si="4"/>
        <v>100.05799999999999</v>
      </c>
      <c r="H121" s="25">
        <f t="shared" si="5"/>
        <v>270.15660000000003</v>
      </c>
    </row>
    <row r="122" spans="1:8" ht="30" customHeight="1" x14ac:dyDescent="0.25">
      <c r="A122" s="16" t="s">
        <v>816</v>
      </c>
      <c r="B122" s="16" t="s">
        <v>393</v>
      </c>
      <c r="C122" s="16" t="s">
        <v>841</v>
      </c>
      <c r="D122" s="16">
        <v>2.7</v>
      </c>
      <c r="E122" s="17">
        <v>204.2</v>
      </c>
      <c r="F122" s="9">
        <f t="shared" si="3"/>
        <v>200.11599999999999</v>
      </c>
      <c r="G122" s="27">
        <f t="shared" si="4"/>
        <v>100.05799999999999</v>
      </c>
      <c r="H122" s="25">
        <f t="shared" si="5"/>
        <v>270.15660000000003</v>
      </c>
    </row>
    <row r="123" spans="1:8" ht="30" customHeight="1" x14ac:dyDescent="0.25">
      <c r="A123" s="18" t="s">
        <v>842</v>
      </c>
      <c r="B123" s="18" t="s">
        <v>336</v>
      </c>
      <c r="C123" s="18" t="s">
        <v>843</v>
      </c>
      <c r="D123" s="18">
        <v>3</v>
      </c>
      <c r="E123" s="19">
        <v>226.28</v>
      </c>
      <c r="F123" s="9">
        <f t="shared" si="3"/>
        <v>221.7544</v>
      </c>
      <c r="G123" s="27">
        <f t="shared" si="4"/>
        <v>110.8772</v>
      </c>
      <c r="H123" s="25">
        <f t="shared" si="5"/>
        <v>299.36844000000002</v>
      </c>
    </row>
    <row r="124" spans="1:8" ht="30" customHeight="1" x14ac:dyDescent="0.25">
      <c r="A124" s="16" t="s">
        <v>842</v>
      </c>
      <c r="B124" s="16" t="s">
        <v>336</v>
      </c>
      <c r="C124" s="16" t="s">
        <v>844</v>
      </c>
      <c r="D124" s="16">
        <v>3</v>
      </c>
      <c r="E124" s="17">
        <v>226.28</v>
      </c>
      <c r="F124" s="9">
        <f t="shared" si="3"/>
        <v>221.7544</v>
      </c>
      <c r="G124" s="27">
        <f t="shared" si="4"/>
        <v>110.8772</v>
      </c>
      <c r="H124" s="25">
        <f t="shared" si="5"/>
        <v>299.36844000000002</v>
      </c>
    </row>
    <row r="125" spans="1:8" ht="30" customHeight="1" x14ac:dyDescent="0.25">
      <c r="A125" s="18" t="s">
        <v>842</v>
      </c>
      <c r="B125" s="18" t="s">
        <v>336</v>
      </c>
      <c r="C125" s="18" t="s">
        <v>845</v>
      </c>
      <c r="D125" s="18">
        <v>3</v>
      </c>
      <c r="E125" s="19">
        <v>226.28</v>
      </c>
      <c r="F125" s="9">
        <f t="shared" si="3"/>
        <v>221.7544</v>
      </c>
      <c r="G125" s="27">
        <f t="shared" si="4"/>
        <v>110.8772</v>
      </c>
      <c r="H125" s="25">
        <f t="shared" si="5"/>
        <v>299.36844000000002</v>
      </c>
    </row>
    <row r="126" spans="1:8" ht="30" customHeight="1" x14ac:dyDescent="0.25">
      <c r="A126" s="16" t="s">
        <v>842</v>
      </c>
      <c r="B126" s="16" t="s">
        <v>358</v>
      </c>
      <c r="C126" s="16" t="s">
        <v>846</v>
      </c>
      <c r="D126" s="16" t="s">
        <v>18</v>
      </c>
      <c r="E126" s="17">
        <v>226.28</v>
      </c>
      <c r="F126" s="9">
        <f t="shared" si="3"/>
        <v>221.7544</v>
      </c>
      <c r="G126" s="27">
        <f t="shared" si="4"/>
        <v>110.8772</v>
      </c>
      <c r="H126" s="25">
        <f t="shared" si="5"/>
        <v>299.36844000000002</v>
      </c>
    </row>
    <row r="127" spans="1:8" ht="30" customHeight="1" x14ac:dyDescent="0.25">
      <c r="A127" s="18" t="s">
        <v>842</v>
      </c>
      <c r="B127" s="18" t="s">
        <v>358</v>
      </c>
      <c r="C127" s="18" t="s">
        <v>847</v>
      </c>
      <c r="D127" s="18">
        <v>3</v>
      </c>
      <c r="E127" s="19">
        <v>226.28</v>
      </c>
      <c r="F127" s="9">
        <f t="shared" si="3"/>
        <v>221.7544</v>
      </c>
      <c r="G127" s="27">
        <f t="shared" si="4"/>
        <v>110.8772</v>
      </c>
      <c r="H127" s="25">
        <f t="shared" si="5"/>
        <v>299.36844000000002</v>
      </c>
    </row>
    <row r="128" spans="1:8" ht="30" customHeight="1" x14ac:dyDescent="0.25">
      <c r="A128" s="16" t="s">
        <v>842</v>
      </c>
      <c r="B128" s="16" t="s">
        <v>358</v>
      </c>
      <c r="C128" s="16" t="s">
        <v>848</v>
      </c>
      <c r="D128" s="16" t="s">
        <v>18</v>
      </c>
      <c r="E128" s="17">
        <v>226.28</v>
      </c>
      <c r="F128" s="9">
        <f t="shared" si="3"/>
        <v>221.7544</v>
      </c>
      <c r="G128" s="27">
        <f t="shared" si="4"/>
        <v>110.8772</v>
      </c>
      <c r="H128" s="25">
        <f t="shared" si="5"/>
        <v>299.36844000000002</v>
      </c>
    </row>
    <row r="129" spans="1:8" ht="30" customHeight="1" x14ac:dyDescent="0.25">
      <c r="A129" s="18" t="s">
        <v>842</v>
      </c>
      <c r="B129" s="18" t="s">
        <v>358</v>
      </c>
      <c r="C129" s="18" t="s">
        <v>849</v>
      </c>
      <c r="D129" s="18" t="s">
        <v>18</v>
      </c>
      <c r="E129" s="19">
        <v>226.28</v>
      </c>
      <c r="F129" s="9">
        <f t="shared" si="3"/>
        <v>221.7544</v>
      </c>
      <c r="G129" s="27">
        <f t="shared" si="4"/>
        <v>110.8772</v>
      </c>
      <c r="H129" s="25">
        <f t="shared" si="5"/>
        <v>299.36844000000002</v>
      </c>
    </row>
    <row r="130" spans="1:8" ht="30" customHeight="1" x14ac:dyDescent="0.25">
      <c r="A130" s="16" t="s">
        <v>842</v>
      </c>
      <c r="B130" s="16" t="s">
        <v>358</v>
      </c>
      <c r="C130" s="16" t="s">
        <v>850</v>
      </c>
      <c r="D130" s="16">
        <v>3</v>
      </c>
      <c r="E130" s="17">
        <v>226.28</v>
      </c>
      <c r="F130" s="9">
        <f t="shared" si="3"/>
        <v>221.7544</v>
      </c>
      <c r="G130" s="27">
        <f t="shared" si="4"/>
        <v>110.8772</v>
      </c>
      <c r="H130" s="25">
        <f t="shared" si="5"/>
        <v>299.36844000000002</v>
      </c>
    </row>
    <row r="131" spans="1:8" ht="30" customHeight="1" x14ac:dyDescent="0.25">
      <c r="A131" s="18" t="s">
        <v>842</v>
      </c>
      <c r="B131" s="18" t="s">
        <v>33</v>
      </c>
      <c r="C131" s="18" t="s">
        <v>851</v>
      </c>
      <c r="D131" s="18"/>
      <c r="E131" s="19">
        <v>226.28</v>
      </c>
      <c r="F131" s="9">
        <f t="shared" ref="F131:F194" si="6">E131*0.98</f>
        <v>221.7544</v>
      </c>
      <c r="G131" s="27">
        <f t="shared" ref="G131:G194" si="7">F131/2</f>
        <v>110.8772</v>
      </c>
      <c r="H131" s="25">
        <f t="shared" ref="H131:H194" si="8">F131*1.35</f>
        <v>299.36844000000002</v>
      </c>
    </row>
    <row r="132" spans="1:8" ht="30" customHeight="1" x14ac:dyDescent="0.25">
      <c r="A132" s="16" t="s">
        <v>842</v>
      </c>
      <c r="B132" s="16" t="s">
        <v>435</v>
      </c>
      <c r="C132" s="16" t="s">
        <v>852</v>
      </c>
      <c r="D132" s="16" t="s">
        <v>18</v>
      </c>
      <c r="E132" s="17">
        <v>226.28</v>
      </c>
      <c r="F132" s="9">
        <f t="shared" si="6"/>
        <v>221.7544</v>
      </c>
      <c r="G132" s="27">
        <f t="shared" si="7"/>
        <v>110.8772</v>
      </c>
      <c r="H132" s="25">
        <f t="shared" si="8"/>
        <v>299.36844000000002</v>
      </c>
    </row>
    <row r="133" spans="1:8" ht="30" customHeight="1" x14ac:dyDescent="0.25">
      <c r="A133" s="18" t="s">
        <v>842</v>
      </c>
      <c r="B133" s="18" t="s">
        <v>306</v>
      </c>
      <c r="C133" s="18" t="s">
        <v>853</v>
      </c>
      <c r="D133" s="18">
        <v>2.8</v>
      </c>
      <c r="E133" s="19">
        <v>226.28</v>
      </c>
      <c r="F133" s="9">
        <f t="shared" si="6"/>
        <v>221.7544</v>
      </c>
      <c r="G133" s="27">
        <f t="shared" si="7"/>
        <v>110.8772</v>
      </c>
      <c r="H133" s="25">
        <f t="shared" si="8"/>
        <v>299.36844000000002</v>
      </c>
    </row>
    <row r="134" spans="1:8" ht="30" customHeight="1" x14ac:dyDescent="0.25">
      <c r="A134" s="16" t="s">
        <v>842</v>
      </c>
      <c r="B134" s="16" t="s">
        <v>306</v>
      </c>
      <c r="C134" s="16" t="s">
        <v>854</v>
      </c>
      <c r="D134" s="16">
        <v>3.5</v>
      </c>
      <c r="E134" s="17">
        <v>226.28</v>
      </c>
      <c r="F134" s="9">
        <f t="shared" si="6"/>
        <v>221.7544</v>
      </c>
      <c r="G134" s="27">
        <f t="shared" si="7"/>
        <v>110.8772</v>
      </c>
      <c r="H134" s="25">
        <f t="shared" si="8"/>
        <v>299.36844000000002</v>
      </c>
    </row>
    <row r="135" spans="1:8" ht="30" customHeight="1" x14ac:dyDescent="0.25">
      <c r="A135" s="18" t="s">
        <v>842</v>
      </c>
      <c r="B135" s="18" t="s">
        <v>306</v>
      </c>
      <c r="C135" s="18" t="s">
        <v>855</v>
      </c>
      <c r="D135" s="18" t="s">
        <v>18</v>
      </c>
      <c r="E135" s="19">
        <v>226.28</v>
      </c>
      <c r="F135" s="9">
        <f t="shared" si="6"/>
        <v>221.7544</v>
      </c>
      <c r="G135" s="27">
        <f t="shared" si="7"/>
        <v>110.8772</v>
      </c>
      <c r="H135" s="25">
        <f t="shared" si="8"/>
        <v>299.36844000000002</v>
      </c>
    </row>
    <row r="136" spans="1:8" ht="30" customHeight="1" x14ac:dyDescent="0.25">
      <c r="A136" s="16" t="s">
        <v>842</v>
      </c>
      <c r="B136" s="16" t="s">
        <v>306</v>
      </c>
      <c r="C136" s="16" t="s">
        <v>856</v>
      </c>
      <c r="D136" s="16">
        <v>3.5</v>
      </c>
      <c r="E136" s="17">
        <v>226.28</v>
      </c>
      <c r="F136" s="9">
        <f t="shared" si="6"/>
        <v>221.7544</v>
      </c>
      <c r="G136" s="27">
        <f t="shared" si="7"/>
        <v>110.8772</v>
      </c>
      <c r="H136" s="25">
        <f t="shared" si="8"/>
        <v>299.36844000000002</v>
      </c>
    </row>
    <row r="137" spans="1:8" ht="30" customHeight="1" x14ac:dyDescent="0.25">
      <c r="A137" s="18" t="s">
        <v>842</v>
      </c>
      <c r="B137" s="18" t="s">
        <v>393</v>
      </c>
      <c r="C137" s="18" t="s">
        <v>857</v>
      </c>
      <c r="D137" s="18">
        <v>2.7</v>
      </c>
      <c r="E137" s="19">
        <v>226.28</v>
      </c>
      <c r="F137" s="9">
        <f t="shared" si="6"/>
        <v>221.7544</v>
      </c>
      <c r="G137" s="27">
        <f t="shared" si="7"/>
        <v>110.8772</v>
      </c>
      <c r="H137" s="25">
        <f t="shared" si="8"/>
        <v>299.36844000000002</v>
      </c>
    </row>
    <row r="138" spans="1:8" ht="30" customHeight="1" x14ac:dyDescent="0.25">
      <c r="A138" s="16" t="s">
        <v>858</v>
      </c>
      <c r="B138" s="16" t="s">
        <v>336</v>
      </c>
      <c r="C138" s="16" t="s">
        <v>859</v>
      </c>
      <c r="D138" s="16">
        <v>4.2</v>
      </c>
      <c r="E138" s="17">
        <v>248.35</v>
      </c>
      <c r="F138" s="9">
        <f t="shared" si="6"/>
        <v>243.38299999999998</v>
      </c>
      <c r="G138" s="27">
        <f t="shared" si="7"/>
        <v>121.69149999999999</v>
      </c>
      <c r="H138" s="25">
        <f t="shared" si="8"/>
        <v>328.56704999999999</v>
      </c>
    </row>
    <row r="139" spans="1:8" ht="30" customHeight="1" x14ac:dyDescent="0.25">
      <c r="A139" s="18" t="s">
        <v>858</v>
      </c>
      <c r="B139" s="18" t="s">
        <v>358</v>
      </c>
      <c r="C139" s="18" t="s">
        <v>860</v>
      </c>
      <c r="D139" s="18">
        <v>3</v>
      </c>
      <c r="E139" s="19">
        <v>248.35</v>
      </c>
      <c r="F139" s="9">
        <f t="shared" si="6"/>
        <v>243.38299999999998</v>
      </c>
      <c r="G139" s="27">
        <f t="shared" si="7"/>
        <v>121.69149999999999</v>
      </c>
      <c r="H139" s="25">
        <f t="shared" si="8"/>
        <v>328.56704999999999</v>
      </c>
    </row>
    <row r="140" spans="1:8" ht="30" customHeight="1" x14ac:dyDescent="0.25">
      <c r="A140" s="16" t="s">
        <v>858</v>
      </c>
      <c r="B140" s="16" t="s">
        <v>358</v>
      </c>
      <c r="C140" s="16" t="s">
        <v>861</v>
      </c>
      <c r="D140" s="16">
        <v>3</v>
      </c>
      <c r="E140" s="17">
        <v>248.35</v>
      </c>
      <c r="F140" s="9">
        <f t="shared" si="6"/>
        <v>243.38299999999998</v>
      </c>
      <c r="G140" s="27">
        <f t="shared" si="7"/>
        <v>121.69149999999999</v>
      </c>
      <c r="H140" s="25">
        <f t="shared" si="8"/>
        <v>328.56704999999999</v>
      </c>
    </row>
    <row r="141" spans="1:8" ht="30" customHeight="1" x14ac:dyDescent="0.25">
      <c r="A141" s="18" t="s">
        <v>858</v>
      </c>
      <c r="B141" s="18" t="s">
        <v>358</v>
      </c>
      <c r="C141" s="18" t="s">
        <v>862</v>
      </c>
      <c r="D141" s="18">
        <v>3</v>
      </c>
      <c r="E141" s="19">
        <v>248.35</v>
      </c>
      <c r="F141" s="9">
        <f t="shared" si="6"/>
        <v>243.38299999999998</v>
      </c>
      <c r="G141" s="27">
        <f t="shared" si="7"/>
        <v>121.69149999999999</v>
      </c>
      <c r="H141" s="25">
        <f t="shared" si="8"/>
        <v>328.56704999999999</v>
      </c>
    </row>
    <row r="142" spans="1:8" ht="30" customHeight="1" x14ac:dyDescent="0.25">
      <c r="A142" s="16" t="s">
        <v>858</v>
      </c>
      <c r="B142" s="16" t="s">
        <v>358</v>
      </c>
      <c r="C142" s="16" t="s">
        <v>863</v>
      </c>
      <c r="D142" s="16">
        <v>3.2</v>
      </c>
      <c r="E142" s="17">
        <v>248.35</v>
      </c>
      <c r="F142" s="9">
        <f t="shared" si="6"/>
        <v>243.38299999999998</v>
      </c>
      <c r="G142" s="27">
        <f t="shared" si="7"/>
        <v>121.69149999999999</v>
      </c>
      <c r="H142" s="25">
        <f t="shared" si="8"/>
        <v>328.56704999999999</v>
      </c>
    </row>
    <row r="143" spans="1:8" ht="30" customHeight="1" x14ac:dyDescent="0.25">
      <c r="A143" s="18" t="s">
        <v>858</v>
      </c>
      <c r="B143" s="18" t="s">
        <v>358</v>
      </c>
      <c r="C143" s="18" t="s">
        <v>864</v>
      </c>
      <c r="D143" s="18">
        <v>3.2</v>
      </c>
      <c r="E143" s="19">
        <v>248.35</v>
      </c>
      <c r="F143" s="9">
        <f t="shared" si="6"/>
        <v>243.38299999999998</v>
      </c>
      <c r="G143" s="27">
        <f t="shared" si="7"/>
        <v>121.69149999999999</v>
      </c>
      <c r="H143" s="25">
        <f t="shared" si="8"/>
        <v>328.56704999999999</v>
      </c>
    </row>
    <row r="144" spans="1:8" ht="30" customHeight="1" x14ac:dyDescent="0.25">
      <c r="A144" s="16" t="s">
        <v>858</v>
      </c>
      <c r="B144" s="16" t="s">
        <v>435</v>
      </c>
      <c r="C144" s="16" t="s">
        <v>865</v>
      </c>
      <c r="D144" s="16" t="s">
        <v>18</v>
      </c>
      <c r="E144" s="17">
        <v>248.35</v>
      </c>
      <c r="F144" s="9">
        <f t="shared" si="6"/>
        <v>243.38299999999998</v>
      </c>
      <c r="G144" s="27">
        <f t="shared" si="7"/>
        <v>121.69149999999999</v>
      </c>
      <c r="H144" s="25">
        <f t="shared" si="8"/>
        <v>328.56704999999999</v>
      </c>
    </row>
    <row r="145" spans="1:8" ht="30" customHeight="1" x14ac:dyDescent="0.25">
      <c r="A145" s="18" t="s">
        <v>858</v>
      </c>
      <c r="B145" s="18" t="s">
        <v>381</v>
      </c>
      <c r="C145" s="18" t="s">
        <v>866</v>
      </c>
      <c r="D145" s="18">
        <v>3</v>
      </c>
      <c r="E145" s="19">
        <v>248.35</v>
      </c>
      <c r="F145" s="9">
        <f t="shared" si="6"/>
        <v>243.38299999999998</v>
      </c>
      <c r="G145" s="27">
        <f t="shared" si="7"/>
        <v>121.69149999999999</v>
      </c>
      <c r="H145" s="25">
        <f t="shared" si="8"/>
        <v>328.56704999999999</v>
      </c>
    </row>
    <row r="146" spans="1:8" ht="30" customHeight="1" x14ac:dyDescent="0.25">
      <c r="A146" s="16" t="s">
        <v>858</v>
      </c>
      <c r="B146" s="16" t="s">
        <v>306</v>
      </c>
      <c r="C146" s="16" t="s">
        <v>867</v>
      </c>
      <c r="D146" s="16" t="s">
        <v>18</v>
      </c>
      <c r="E146" s="17">
        <v>248.35</v>
      </c>
      <c r="F146" s="9">
        <f t="shared" si="6"/>
        <v>243.38299999999998</v>
      </c>
      <c r="G146" s="27">
        <f t="shared" si="7"/>
        <v>121.69149999999999</v>
      </c>
      <c r="H146" s="25">
        <f t="shared" si="8"/>
        <v>328.56704999999999</v>
      </c>
    </row>
    <row r="147" spans="1:8" ht="30" customHeight="1" x14ac:dyDescent="0.25">
      <c r="A147" s="18" t="s">
        <v>858</v>
      </c>
      <c r="B147" s="18" t="s">
        <v>306</v>
      </c>
      <c r="C147" s="18" t="s">
        <v>868</v>
      </c>
      <c r="D147" s="18">
        <v>3.5</v>
      </c>
      <c r="E147" s="19">
        <v>248.35</v>
      </c>
      <c r="F147" s="9">
        <f t="shared" si="6"/>
        <v>243.38299999999998</v>
      </c>
      <c r="G147" s="27">
        <f t="shared" si="7"/>
        <v>121.69149999999999</v>
      </c>
      <c r="H147" s="25">
        <f t="shared" si="8"/>
        <v>328.56704999999999</v>
      </c>
    </row>
    <row r="148" spans="1:8" ht="30" customHeight="1" x14ac:dyDescent="0.25">
      <c r="A148" s="16" t="s">
        <v>858</v>
      </c>
      <c r="B148" s="16" t="s">
        <v>306</v>
      </c>
      <c r="C148" s="16" t="s">
        <v>869</v>
      </c>
      <c r="D148" s="16">
        <v>5</v>
      </c>
      <c r="E148" s="17">
        <v>248.35</v>
      </c>
      <c r="F148" s="9">
        <f t="shared" si="6"/>
        <v>243.38299999999998</v>
      </c>
      <c r="G148" s="27">
        <f t="shared" si="7"/>
        <v>121.69149999999999</v>
      </c>
      <c r="H148" s="25">
        <f t="shared" si="8"/>
        <v>328.56704999999999</v>
      </c>
    </row>
    <row r="149" spans="1:8" ht="30" customHeight="1" x14ac:dyDescent="0.25">
      <c r="A149" s="18" t="s">
        <v>858</v>
      </c>
      <c r="B149" s="18" t="s">
        <v>306</v>
      </c>
      <c r="C149" s="18" t="s">
        <v>870</v>
      </c>
      <c r="D149" s="18">
        <v>5</v>
      </c>
      <c r="E149" s="19">
        <v>248.35</v>
      </c>
      <c r="F149" s="9">
        <f t="shared" si="6"/>
        <v>243.38299999999998</v>
      </c>
      <c r="G149" s="27">
        <f t="shared" si="7"/>
        <v>121.69149999999999</v>
      </c>
      <c r="H149" s="25">
        <f t="shared" si="8"/>
        <v>328.56704999999999</v>
      </c>
    </row>
    <row r="150" spans="1:8" ht="30" customHeight="1" x14ac:dyDescent="0.25">
      <c r="A150" s="16" t="s">
        <v>858</v>
      </c>
      <c r="B150" s="16" t="s">
        <v>306</v>
      </c>
      <c r="C150" s="16" t="s">
        <v>871</v>
      </c>
      <c r="D150" s="16" t="s">
        <v>18</v>
      </c>
      <c r="E150" s="17">
        <v>248.35</v>
      </c>
      <c r="F150" s="9">
        <f t="shared" si="6"/>
        <v>243.38299999999998</v>
      </c>
      <c r="G150" s="27">
        <f t="shared" si="7"/>
        <v>121.69149999999999</v>
      </c>
      <c r="H150" s="25">
        <f t="shared" si="8"/>
        <v>328.56704999999999</v>
      </c>
    </row>
    <row r="151" spans="1:8" ht="30" customHeight="1" x14ac:dyDescent="0.25">
      <c r="A151" s="18" t="s">
        <v>858</v>
      </c>
      <c r="B151" s="18" t="s">
        <v>393</v>
      </c>
      <c r="C151" s="18" t="s">
        <v>872</v>
      </c>
      <c r="D151" s="18">
        <v>3.2</v>
      </c>
      <c r="E151" s="19">
        <v>248.35</v>
      </c>
      <c r="F151" s="9">
        <f t="shared" si="6"/>
        <v>243.38299999999998</v>
      </c>
      <c r="G151" s="27">
        <f t="shared" si="7"/>
        <v>121.69149999999999</v>
      </c>
      <c r="H151" s="25">
        <f t="shared" si="8"/>
        <v>328.56704999999999</v>
      </c>
    </row>
    <row r="152" spans="1:8" ht="30" customHeight="1" x14ac:dyDescent="0.25">
      <c r="A152" s="16" t="s">
        <v>858</v>
      </c>
      <c r="B152" s="16" t="s">
        <v>393</v>
      </c>
      <c r="C152" s="16" t="s">
        <v>873</v>
      </c>
      <c r="D152" s="16" t="s">
        <v>18</v>
      </c>
      <c r="E152" s="17">
        <v>248.35</v>
      </c>
      <c r="F152" s="9">
        <f t="shared" si="6"/>
        <v>243.38299999999998</v>
      </c>
      <c r="G152" s="27">
        <f t="shared" si="7"/>
        <v>121.69149999999999</v>
      </c>
      <c r="H152" s="25">
        <f t="shared" si="8"/>
        <v>328.56704999999999</v>
      </c>
    </row>
    <row r="153" spans="1:8" ht="30" customHeight="1" x14ac:dyDescent="0.25">
      <c r="A153" s="18" t="s">
        <v>858</v>
      </c>
      <c r="B153" s="18" t="s">
        <v>874</v>
      </c>
      <c r="C153" s="18" t="s">
        <v>875</v>
      </c>
      <c r="D153" s="18">
        <v>4</v>
      </c>
      <c r="E153" s="19">
        <v>248.35</v>
      </c>
      <c r="F153" s="9">
        <f t="shared" si="6"/>
        <v>243.38299999999998</v>
      </c>
      <c r="G153" s="27">
        <f t="shared" si="7"/>
        <v>121.69149999999999</v>
      </c>
      <c r="H153" s="25">
        <f t="shared" si="8"/>
        <v>328.56704999999999</v>
      </c>
    </row>
    <row r="154" spans="1:8" ht="30" customHeight="1" x14ac:dyDescent="0.25">
      <c r="A154" s="16" t="s">
        <v>876</v>
      </c>
      <c r="B154" s="16" t="s">
        <v>72</v>
      </c>
      <c r="C154" s="16" t="s">
        <v>877</v>
      </c>
      <c r="D154" s="16">
        <v>2.9</v>
      </c>
      <c r="E154" s="17">
        <v>284.20999999999998</v>
      </c>
      <c r="F154" s="9">
        <f t="shared" si="6"/>
        <v>278.52579999999995</v>
      </c>
      <c r="G154" s="27">
        <f t="shared" si="7"/>
        <v>139.26289999999997</v>
      </c>
      <c r="H154" s="25">
        <f t="shared" si="8"/>
        <v>376.00982999999997</v>
      </c>
    </row>
    <row r="155" spans="1:8" ht="30" customHeight="1" x14ac:dyDescent="0.25">
      <c r="A155" s="18" t="s">
        <v>876</v>
      </c>
      <c r="B155" s="18" t="s">
        <v>336</v>
      </c>
      <c r="C155" s="18" t="s">
        <v>878</v>
      </c>
      <c r="D155" s="18" t="s">
        <v>18</v>
      </c>
      <c r="E155" s="19">
        <v>284.20999999999998</v>
      </c>
      <c r="F155" s="9">
        <f t="shared" si="6"/>
        <v>278.52579999999995</v>
      </c>
      <c r="G155" s="27">
        <f t="shared" si="7"/>
        <v>139.26289999999997</v>
      </c>
      <c r="H155" s="25">
        <f t="shared" si="8"/>
        <v>376.00982999999997</v>
      </c>
    </row>
    <row r="156" spans="1:8" ht="30" customHeight="1" x14ac:dyDescent="0.25">
      <c r="A156" s="16" t="s">
        <v>876</v>
      </c>
      <c r="B156" s="16" t="s">
        <v>336</v>
      </c>
      <c r="C156" s="16" t="s">
        <v>879</v>
      </c>
      <c r="D156" s="16">
        <v>4.2</v>
      </c>
      <c r="E156" s="17">
        <v>284.20999999999998</v>
      </c>
      <c r="F156" s="9">
        <f t="shared" si="6"/>
        <v>278.52579999999995</v>
      </c>
      <c r="G156" s="27">
        <f t="shared" si="7"/>
        <v>139.26289999999997</v>
      </c>
      <c r="H156" s="25">
        <f t="shared" si="8"/>
        <v>376.00982999999997</v>
      </c>
    </row>
    <row r="157" spans="1:8" ht="30" customHeight="1" x14ac:dyDescent="0.25">
      <c r="A157" s="18" t="s">
        <v>876</v>
      </c>
      <c r="B157" s="18" t="s">
        <v>358</v>
      </c>
      <c r="C157" s="18" t="s">
        <v>880</v>
      </c>
      <c r="D157" s="18">
        <v>5</v>
      </c>
      <c r="E157" s="19">
        <v>284.20999999999998</v>
      </c>
      <c r="F157" s="9">
        <f t="shared" si="6"/>
        <v>278.52579999999995</v>
      </c>
      <c r="G157" s="27">
        <f t="shared" si="7"/>
        <v>139.26289999999997</v>
      </c>
      <c r="H157" s="25">
        <f t="shared" si="8"/>
        <v>376.00982999999997</v>
      </c>
    </row>
    <row r="158" spans="1:8" ht="30" customHeight="1" x14ac:dyDescent="0.25">
      <c r="A158" s="16" t="s">
        <v>876</v>
      </c>
      <c r="B158" s="16" t="s">
        <v>358</v>
      </c>
      <c r="C158" s="16" t="s">
        <v>881</v>
      </c>
      <c r="D158" s="16" t="s">
        <v>18</v>
      </c>
      <c r="E158" s="17">
        <v>284.20999999999998</v>
      </c>
      <c r="F158" s="9">
        <f t="shared" si="6"/>
        <v>278.52579999999995</v>
      </c>
      <c r="G158" s="27">
        <f t="shared" si="7"/>
        <v>139.26289999999997</v>
      </c>
      <c r="H158" s="25">
        <f t="shared" si="8"/>
        <v>376.00982999999997</v>
      </c>
    </row>
    <row r="159" spans="1:8" ht="30" customHeight="1" x14ac:dyDescent="0.25">
      <c r="A159" s="18" t="s">
        <v>876</v>
      </c>
      <c r="B159" s="18" t="s">
        <v>358</v>
      </c>
      <c r="C159" s="18" t="s">
        <v>882</v>
      </c>
      <c r="D159" s="18">
        <v>4</v>
      </c>
      <c r="E159" s="19">
        <v>284.20999999999998</v>
      </c>
      <c r="F159" s="9">
        <f t="shared" si="6"/>
        <v>278.52579999999995</v>
      </c>
      <c r="G159" s="27">
        <f t="shared" si="7"/>
        <v>139.26289999999997</v>
      </c>
      <c r="H159" s="25">
        <f t="shared" si="8"/>
        <v>376.00982999999997</v>
      </c>
    </row>
    <row r="160" spans="1:8" ht="30" customHeight="1" x14ac:dyDescent="0.25">
      <c r="A160" s="16" t="s">
        <v>876</v>
      </c>
      <c r="B160" s="16" t="s">
        <v>358</v>
      </c>
      <c r="C160" s="16" t="s">
        <v>883</v>
      </c>
      <c r="D160" s="16" t="s">
        <v>18</v>
      </c>
      <c r="E160" s="17">
        <v>284.20999999999998</v>
      </c>
      <c r="F160" s="9">
        <f t="shared" si="6"/>
        <v>278.52579999999995</v>
      </c>
      <c r="G160" s="27">
        <f t="shared" si="7"/>
        <v>139.26289999999997</v>
      </c>
      <c r="H160" s="25">
        <f t="shared" si="8"/>
        <v>376.00982999999997</v>
      </c>
    </row>
    <row r="161" spans="1:8" ht="30" customHeight="1" x14ac:dyDescent="0.25">
      <c r="A161" s="18" t="s">
        <v>876</v>
      </c>
      <c r="B161" s="18" t="s">
        <v>358</v>
      </c>
      <c r="C161" s="18" t="s">
        <v>884</v>
      </c>
      <c r="D161" s="18">
        <v>3</v>
      </c>
      <c r="E161" s="19">
        <v>284.20999999999998</v>
      </c>
      <c r="F161" s="9">
        <f t="shared" si="6"/>
        <v>278.52579999999995</v>
      </c>
      <c r="G161" s="27">
        <f t="shared" si="7"/>
        <v>139.26289999999997</v>
      </c>
      <c r="H161" s="25">
        <f t="shared" si="8"/>
        <v>376.00982999999997</v>
      </c>
    </row>
    <row r="162" spans="1:8" ht="30" customHeight="1" x14ac:dyDescent="0.25">
      <c r="A162" s="16" t="s">
        <v>876</v>
      </c>
      <c r="B162" s="16" t="s">
        <v>358</v>
      </c>
      <c r="C162" s="16" t="s">
        <v>885</v>
      </c>
      <c r="D162" s="16">
        <v>5</v>
      </c>
      <c r="E162" s="17">
        <v>284.20999999999998</v>
      </c>
      <c r="F162" s="9">
        <f t="shared" si="6"/>
        <v>278.52579999999995</v>
      </c>
      <c r="G162" s="27">
        <f t="shared" si="7"/>
        <v>139.26289999999997</v>
      </c>
      <c r="H162" s="25">
        <f t="shared" si="8"/>
        <v>376.00982999999997</v>
      </c>
    </row>
    <row r="163" spans="1:8" ht="30" customHeight="1" x14ac:dyDescent="0.25">
      <c r="A163" s="18" t="s">
        <v>876</v>
      </c>
      <c r="B163" s="18" t="s">
        <v>358</v>
      </c>
      <c r="C163" s="18" t="s">
        <v>886</v>
      </c>
      <c r="D163" s="18">
        <v>3</v>
      </c>
      <c r="E163" s="19">
        <v>284.20999999999998</v>
      </c>
      <c r="F163" s="9">
        <f t="shared" si="6"/>
        <v>278.52579999999995</v>
      </c>
      <c r="G163" s="27">
        <f t="shared" si="7"/>
        <v>139.26289999999997</v>
      </c>
      <c r="H163" s="25">
        <f t="shared" si="8"/>
        <v>376.00982999999997</v>
      </c>
    </row>
    <row r="164" spans="1:8" ht="30" customHeight="1" x14ac:dyDescent="0.25">
      <c r="A164" s="16" t="s">
        <v>876</v>
      </c>
      <c r="B164" s="16" t="s">
        <v>381</v>
      </c>
      <c r="C164" s="16" t="s">
        <v>887</v>
      </c>
      <c r="D164" s="16">
        <v>3</v>
      </c>
      <c r="E164" s="17">
        <v>284.20999999999998</v>
      </c>
      <c r="F164" s="9">
        <f t="shared" si="6"/>
        <v>278.52579999999995</v>
      </c>
      <c r="G164" s="27">
        <f t="shared" si="7"/>
        <v>139.26289999999997</v>
      </c>
      <c r="H164" s="25">
        <f t="shared" si="8"/>
        <v>376.00982999999997</v>
      </c>
    </row>
    <row r="165" spans="1:8" ht="30" customHeight="1" x14ac:dyDescent="0.25">
      <c r="A165" s="18" t="s">
        <v>876</v>
      </c>
      <c r="B165" s="18" t="s">
        <v>381</v>
      </c>
      <c r="C165" s="18" t="s">
        <v>888</v>
      </c>
      <c r="D165" s="18">
        <v>4.2</v>
      </c>
      <c r="E165" s="19">
        <v>284.20999999999998</v>
      </c>
      <c r="F165" s="9">
        <f t="shared" si="6"/>
        <v>278.52579999999995</v>
      </c>
      <c r="G165" s="27">
        <f t="shared" si="7"/>
        <v>139.26289999999997</v>
      </c>
      <c r="H165" s="25">
        <f t="shared" si="8"/>
        <v>376.00982999999997</v>
      </c>
    </row>
    <row r="166" spans="1:8" ht="30" customHeight="1" x14ac:dyDescent="0.25">
      <c r="A166" s="16" t="s">
        <v>876</v>
      </c>
      <c r="B166" s="16" t="s">
        <v>390</v>
      </c>
      <c r="C166" s="16" t="s">
        <v>889</v>
      </c>
      <c r="D166" s="16">
        <v>4.3</v>
      </c>
      <c r="E166" s="17">
        <v>284.20999999999998</v>
      </c>
      <c r="F166" s="9">
        <f t="shared" si="6"/>
        <v>278.52579999999995</v>
      </c>
      <c r="G166" s="27">
        <f t="shared" si="7"/>
        <v>139.26289999999997</v>
      </c>
      <c r="H166" s="25">
        <f t="shared" si="8"/>
        <v>376.00982999999997</v>
      </c>
    </row>
    <row r="167" spans="1:8" ht="30" customHeight="1" x14ac:dyDescent="0.25">
      <c r="A167" s="18" t="s">
        <v>876</v>
      </c>
      <c r="B167" s="18" t="s">
        <v>644</v>
      </c>
      <c r="C167" s="18" t="s">
        <v>890</v>
      </c>
      <c r="D167" s="18">
        <v>4.2</v>
      </c>
      <c r="E167" s="19">
        <v>284.20999999999998</v>
      </c>
      <c r="F167" s="9">
        <f t="shared" si="6"/>
        <v>278.52579999999995</v>
      </c>
      <c r="G167" s="27">
        <f t="shared" si="7"/>
        <v>139.26289999999997</v>
      </c>
      <c r="H167" s="25">
        <f t="shared" si="8"/>
        <v>376.00982999999997</v>
      </c>
    </row>
    <row r="168" spans="1:8" ht="30" customHeight="1" x14ac:dyDescent="0.25">
      <c r="A168" s="16" t="s">
        <v>876</v>
      </c>
      <c r="B168" s="16" t="s">
        <v>644</v>
      </c>
      <c r="C168" s="16" t="s">
        <v>891</v>
      </c>
      <c r="D168" s="16">
        <v>4.2</v>
      </c>
      <c r="E168" s="17">
        <v>284.20999999999998</v>
      </c>
      <c r="F168" s="9">
        <f t="shared" si="6"/>
        <v>278.52579999999995</v>
      </c>
      <c r="G168" s="27">
        <f t="shared" si="7"/>
        <v>139.26289999999997</v>
      </c>
      <c r="H168" s="25">
        <f t="shared" si="8"/>
        <v>376.00982999999997</v>
      </c>
    </row>
    <row r="169" spans="1:8" ht="30" customHeight="1" x14ac:dyDescent="0.25">
      <c r="A169" s="18" t="s">
        <v>876</v>
      </c>
      <c r="B169" s="18" t="s">
        <v>306</v>
      </c>
      <c r="C169" s="18" t="s">
        <v>892</v>
      </c>
      <c r="D169" s="18">
        <v>6.3</v>
      </c>
      <c r="E169" s="19">
        <v>284.20999999999998</v>
      </c>
      <c r="F169" s="9">
        <f t="shared" si="6"/>
        <v>278.52579999999995</v>
      </c>
      <c r="G169" s="27">
        <f t="shared" si="7"/>
        <v>139.26289999999997</v>
      </c>
      <c r="H169" s="25">
        <f t="shared" si="8"/>
        <v>376.00982999999997</v>
      </c>
    </row>
    <row r="170" spans="1:8" ht="30" customHeight="1" x14ac:dyDescent="0.25">
      <c r="A170" s="16" t="s">
        <v>876</v>
      </c>
      <c r="B170" s="16" t="s">
        <v>306</v>
      </c>
      <c r="C170" s="16" t="s">
        <v>893</v>
      </c>
      <c r="D170" s="16">
        <v>3.5</v>
      </c>
      <c r="E170" s="17">
        <v>284.20999999999998</v>
      </c>
      <c r="F170" s="9">
        <f t="shared" si="6"/>
        <v>278.52579999999995</v>
      </c>
      <c r="G170" s="27">
        <f t="shared" si="7"/>
        <v>139.26289999999997</v>
      </c>
      <c r="H170" s="25">
        <f t="shared" si="8"/>
        <v>376.00982999999997</v>
      </c>
    </row>
    <row r="171" spans="1:8" ht="30" customHeight="1" x14ac:dyDescent="0.25">
      <c r="A171" s="18" t="s">
        <v>876</v>
      </c>
      <c r="B171" s="18" t="s">
        <v>306</v>
      </c>
      <c r="C171" s="18" t="s">
        <v>894</v>
      </c>
      <c r="D171" s="18" t="s">
        <v>533</v>
      </c>
      <c r="E171" s="19">
        <v>284.20999999999998</v>
      </c>
      <c r="F171" s="9">
        <f t="shared" si="6"/>
        <v>278.52579999999995</v>
      </c>
      <c r="G171" s="27">
        <f t="shared" si="7"/>
        <v>139.26289999999997</v>
      </c>
      <c r="H171" s="25">
        <f t="shared" si="8"/>
        <v>376.00982999999997</v>
      </c>
    </row>
    <row r="172" spans="1:8" ht="30" customHeight="1" x14ac:dyDescent="0.25">
      <c r="A172" s="16" t="s">
        <v>876</v>
      </c>
      <c r="B172" s="16" t="s">
        <v>306</v>
      </c>
      <c r="C172" s="16" t="s">
        <v>895</v>
      </c>
      <c r="D172" s="16">
        <v>4</v>
      </c>
      <c r="E172" s="17">
        <v>284.20999999999998</v>
      </c>
      <c r="F172" s="9">
        <f t="shared" si="6"/>
        <v>278.52579999999995</v>
      </c>
      <c r="G172" s="27">
        <f t="shared" si="7"/>
        <v>139.26289999999997</v>
      </c>
      <c r="H172" s="25">
        <f t="shared" si="8"/>
        <v>376.00982999999997</v>
      </c>
    </row>
    <row r="173" spans="1:8" ht="30" customHeight="1" x14ac:dyDescent="0.25">
      <c r="A173" s="18" t="s">
        <v>876</v>
      </c>
      <c r="B173" s="18" t="s">
        <v>11</v>
      </c>
      <c r="C173" s="18" t="s">
        <v>896</v>
      </c>
      <c r="D173" s="18">
        <v>3.8</v>
      </c>
      <c r="E173" s="19">
        <v>284.20999999999998</v>
      </c>
      <c r="F173" s="9">
        <f t="shared" si="6"/>
        <v>278.52579999999995</v>
      </c>
      <c r="G173" s="27">
        <f t="shared" si="7"/>
        <v>139.26289999999997</v>
      </c>
      <c r="H173" s="25">
        <f t="shared" si="8"/>
        <v>376.00982999999997</v>
      </c>
    </row>
    <row r="174" spans="1:8" ht="30" customHeight="1" x14ac:dyDescent="0.25">
      <c r="A174" s="16" t="s">
        <v>876</v>
      </c>
      <c r="B174" s="16" t="s">
        <v>393</v>
      </c>
      <c r="C174" s="16" t="s">
        <v>897</v>
      </c>
      <c r="D174" s="16">
        <v>3.6</v>
      </c>
      <c r="E174" s="17">
        <v>284.20999999999998</v>
      </c>
      <c r="F174" s="9">
        <f t="shared" si="6"/>
        <v>278.52579999999995</v>
      </c>
      <c r="G174" s="27">
        <f t="shared" si="7"/>
        <v>139.26289999999997</v>
      </c>
      <c r="H174" s="25">
        <f t="shared" si="8"/>
        <v>376.00982999999997</v>
      </c>
    </row>
    <row r="175" spans="1:8" ht="30" customHeight="1" x14ac:dyDescent="0.25">
      <c r="A175" s="18" t="s">
        <v>898</v>
      </c>
      <c r="B175" s="18" t="s">
        <v>707</v>
      </c>
      <c r="C175" s="18" t="s">
        <v>899</v>
      </c>
      <c r="D175" s="18" t="s">
        <v>18</v>
      </c>
      <c r="E175" s="19">
        <v>342.16</v>
      </c>
      <c r="F175" s="9">
        <f t="shared" si="6"/>
        <v>335.3168</v>
      </c>
      <c r="G175" s="27">
        <f t="shared" si="7"/>
        <v>167.6584</v>
      </c>
      <c r="H175" s="25">
        <f t="shared" si="8"/>
        <v>452.67768000000001</v>
      </c>
    </row>
    <row r="176" spans="1:8" ht="30" customHeight="1" x14ac:dyDescent="0.25">
      <c r="A176" s="16" t="s">
        <v>898</v>
      </c>
      <c r="B176" s="16" t="s">
        <v>707</v>
      </c>
      <c r="C176" s="16" t="s">
        <v>900</v>
      </c>
      <c r="D176" s="16">
        <v>6</v>
      </c>
      <c r="E176" s="17">
        <v>342.16</v>
      </c>
      <c r="F176" s="9">
        <f t="shared" si="6"/>
        <v>335.3168</v>
      </c>
      <c r="G176" s="27">
        <f t="shared" si="7"/>
        <v>167.6584</v>
      </c>
      <c r="H176" s="25">
        <f t="shared" si="8"/>
        <v>452.67768000000001</v>
      </c>
    </row>
    <row r="177" spans="1:8" ht="30" customHeight="1" x14ac:dyDescent="0.25">
      <c r="A177" s="18" t="s">
        <v>898</v>
      </c>
      <c r="B177" s="18" t="s">
        <v>358</v>
      </c>
      <c r="C177" s="18" t="s">
        <v>901</v>
      </c>
      <c r="D177" s="18">
        <v>5</v>
      </c>
      <c r="E177" s="19">
        <v>342.16</v>
      </c>
      <c r="F177" s="9">
        <f t="shared" si="6"/>
        <v>335.3168</v>
      </c>
      <c r="G177" s="27">
        <f t="shared" si="7"/>
        <v>167.6584</v>
      </c>
      <c r="H177" s="25">
        <f t="shared" si="8"/>
        <v>452.67768000000001</v>
      </c>
    </row>
    <row r="178" spans="1:8" ht="30" customHeight="1" x14ac:dyDescent="0.25">
      <c r="A178" s="16" t="s">
        <v>898</v>
      </c>
      <c r="B178" s="16" t="s">
        <v>381</v>
      </c>
      <c r="C178" s="16" t="s">
        <v>902</v>
      </c>
      <c r="D178" s="16" t="s">
        <v>18</v>
      </c>
      <c r="E178" s="17">
        <v>342.16</v>
      </c>
      <c r="F178" s="9">
        <f t="shared" si="6"/>
        <v>335.3168</v>
      </c>
      <c r="G178" s="27">
        <f t="shared" si="7"/>
        <v>167.6584</v>
      </c>
      <c r="H178" s="25">
        <f t="shared" si="8"/>
        <v>452.67768000000001</v>
      </c>
    </row>
    <row r="179" spans="1:8" ht="30" customHeight="1" x14ac:dyDescent="0.25">
      <c r="A179" s="18" t="s">
        <v>898</v>
      </c>
      <c r="B179" s="18" t="s">
        <v>381</v>
      </c>
      <c r="C179" s="18" t="s">
        <v>903</v>
      </c>
      <c r="D179" s="18">
        <v>5</v>
      </c>
      <c r="E179" s="19">
        <v>342.16</v>
      </c>
      <c r="F179" s="9">
        <f t="shared" si="6"/>
        <v>335.3168</v>
      </c>
      <c r="G179" s="27">
        <f t="shared" si="7"/>
        <v>167.6584</v>
      </c>
      <c r="H179" s="25">
        <f t="shared" si="8"/>
        <v>452.67768000000001</v>
      </c>
    </row>
    <row r="180" spans="1:8" ht="30" customHeight="1" x14ac:dyDescent="0.25">
      <c r="A180" s="16" t="s">
        <v>898</v>
      </c>
      <c r="B180" s="16" t="s">
        <v>381</v>
      </c>
      <c r="C180" s="16" t="s">
        <v>904</v>
      </c>
      <c r="D180" s="16">
        <v>5</v>
      </c>
      <c r="E180" s="17">
        <v>342.16</v>
      </c>
      <c r="F180" s="9">
        <f t="shared" si="6"/>
        <v>335.3168</v>
      </c>
      <c r="G180" s="27">
        <f t="shared" si="7"/>
        <v>167.6584</v>
      </c>
      <c r="H180" s="25">
        <f t="shared" si="8"/>
        <v>452.67768000000001</v>
      </c>
    </row>
    <row r="181" spans="1:8" ht="30" customHeight="1" x14ac:dyDescent="0.25">
      <c r="A181" s="18" t="s">
        <v>898</v>
      </c>
      <c r="B181" s="18" t="s">
        <v>306</v>
      </c>
      <c r="C181" s="18" t="s">
        <v>905</v>
      </c>
      <c r="D181" s="18">
        <v>5</v>
      </c>
      <c r="E181" s="19">
        <v>342.16</v>
      </c>
      <c r="F181" s="9">
        <f t="shared" si="6"/>
        <v>335.3168</v>
      </c>
      <c r="G181" s="27">
        <f t="shared" si="7"/>
        <v>167.6584</v>
      </c>
      <c r="H181" s="25">
        <f t="shared" si="8"/>
        <v>452.67768000000001</v>
      </c>
    </row>
    <row r="182" spans="1:8" ht="30" customHeight="1" x14ac:dyDescent="0.25">
      <c r="A182" s="16" t="s">
        <v>898</v>
      </c>
      <c r="B182" s="16" t="s">
        <v>306</v>
      </c>
      <c r="C182" s="16" t="s">
        <v>906</v>
      </c>
      <c r="D182" s="16" t="s">
        <v>18</v>
      </c>
      <c r="E182" s="17">
        <v>342.16</v>
      </c>
      <c r="F182" s="9">
        <f t="shared" si="6"/>
        <v>335.3168</v>
      </c>
      <c r="G182" s="27">
        <f t="shared" si="7"/>
        <v>167.6584</v>
      </c>
      <c r="H182" s="25">
        <f t="shared" si="8"/>
        <v>452.67768000000001</v>
      </c>
    </row>
    <row r="183" spans="1:8" ht="30" customHeight="1" x14ac:dyDescent="0.25">
      <c r="A183" s="18" t="s">
        <v>898</v>
      </c>
      <c r="B183" s="18" t="s">
        <v>306</v>
      </c>
      <c r="C183" s="18" t="s">
        <v>907</v>
      </c>
      <c r="D183" s="18">
        <v>5</v>
      </c>
      <c r="E183" s="19">
        <v>342.16</v>
      </c>
      <c r="F183" s="9">
        <f t="shared" si="6"/>
        <v>335.3168</v>
      </c>
      <c r="G183" s="27">
        <f t="shared" si="7"/>
        <v>167.6584</v>
      </c>
      <c r="H183" s="25">
        <f t="shared" si="8"/>
        <v>452.67768000000001</v>
      </c>
    </row>
    <row r="184" spans="1:8" ht="30" customHeight="1" x14ac:dyDescent="0.25">
      <c r="A184" s="16" t="s">
        <v>898</v>
      </c>
      <c r="B184" s="16" t="s">
        <v>393</v>
      </c>
      <c r="C184" s="16" t="s">
        <v>908</v>
      </c>
      <c r="D184" s="16">
        <v>3</v>
      </c>
      <c r="E184" s="17">
        <v>342.16</v>
      </c>
      <c r="F184" s="9">
        <f t="shared" si="6"/>
        <v>335.3168</v>
      </c>
      <c r="G184" s="27">
        <f t="shared" si="7"/>
        <v>167.6584</v>
      </c>
      <c r="H184" s="25">
        <f t="shared" si="8"/>
        <v>452.67768000000001</v>
      </c>
    </row>
    <row r="185" spans="1:8" ht="30" customHeight="1" x14ac:dyDescent="0.25">
      <c r="A185" s="18" t="s">
        <v>898</v>
      </c>
      <c r="B185" s="18" t="s">
        <v>393</v>
      </c>
      <c r="C185" s="18" t="s">
        <v>909</v>
      </c>
      <c r="D185" s="18" t="s">
        <v>18</v>
      </c>
      <c r="E185" s="19">
        <v>342.16</v>
      </c>
      <c r="F185" s="9">
        <f t="shared" si="6"/>
        <v>335.3168</v>
      </c>
      <c r="G185" s="27">
        <f t="shared" si="7"/>
        <v>167.6584</v>
      </c>
      <c r="H185" s="25">
        <f t="shared" si="8"/>
        <v>452.67768000000001</v>
      </c>
    </row>
    <row r="186" spans="1:8" ht="30" customHeight="1" x14ac:dyDescent="0.25">
      <c r="A186" s="16" t="s">
        <v>898</v>
      </c>
      <c r="B186" s="16" t="s">
        <v>393</v>
      </c>
      <c r="C186" s="16" t="s">
        <v>910</v>
      </c>
      <c r="D186" s="16">
        <v>3.8</v>
      </c>
      <c r="E186" s="17">
        <v>342.16</v>
      </c>
      <c r="F186" s="9">
        <f t="shared" si="6"/>
        <v>335.3168</v>
      </c>
      <c r="G186" s="27">
        <f t="shared" si="7"/>
        <v>167.6584</v>
      </c>
      <c r="H186" s="25">
        <f t="shared" si="8"/>
        <v>452.67768000000001</v>
      </c>
    </row>
    <row r="187" spans="1:8" ht="30" customHeight="1" x14ac:dyDescent="0.25">
      <c r="A187" s="18" t="s">
        <v>898</v>
      </c>
      <c r="B187" s="18" t="s">
        <v>393</v>
      </c>
      <c r="C187" s="18" t="s">
        <v>911</v>
      </c>
      <c r="D187" s="18" t="s">
        <v>18</v>
      </c>
      <c r="E187" s="19">
        <v>342.16</v>
      </c>
      <c r="F187" s="9">
        <f t="shared" si="6"/>
        <v>335.3168</v>
      </c>
      <c r="G187" s="27">
        <f t="shared" si="7"/>
        <v>167.6584</v>
      </c>
      <c r="H187" s="25">
        <f t="shared" si="8"/>
        <v>452.67768000000001</v>
      </c>
    </row>
    <row r="188" spans="1:8" ht="30" customHeight="1" x14ac:dyDescent="0.25">
      <c r="A188" s="16" t="s">
        <v>898</v>
      </c>
      <c r="B188" s="16" t="s">
        <v>393</v>
      </c>
      <c r="C188" s="16" t="s">
        <v>912</v>
      </c>
      <c r="D188" s="16">
        <v>3.8</v>
      </c>
      <c r="E188" s="17">
        <v>342.16</v>
      </c>
      <c r="F188" s="9">
        <f t="shared" si="6"/>
        <v>335.3168</v>
      </c>
      <c r="G188" s="27">
        <f t="shared" si="7"/>
        <v>167.6584</v>
      </c>
      <c r="H188" s="25">
        <f t="shared" si="8"/>
        <v>452.67768000000001</v>
      </c>
    </row>
    <row r="189" spans="1:8" ht="30" customHeight="1" x14ac:dyDescent="0.25">
      <c r="A189" s="18" t="s">
        <v>898</v>
      </c>
      <c r="B189" s="18" t="s">
        <v>393</v>
      </c>
      <c r="C189" s="18" t="s">
        <v>913</v>
      </c>
      <c r="D189" s="18">
        <v>3.6</v>
      </c>
      <c r="E189" s="19">
        <v>342.16</v>
      </c>
      <c r="F189" s="9">
        <f t="shared" si="6"/>
        <v>335.3168</v>
      </c>
      <c r="G189" s="27">
        <f t="shared" si="7"/>
        <v>167.6584</v>
      </c>
      <c r="H189" s="25">
        <f t="shared" si="8"/>
        <v>452.67768000000001</v>
      </c>
    </row>
    <row r="190" spans="1:8" ht="30" customHeight="1" x14ac:dyDescent="0.25">
      <c r="A190" s="16" t="s">
        <v>914</v>
      </c>
      <c r="B190" s="16" t="s">
        <v>707</v>
      </c>
      <c r="C190" s="16" t="s">
        <v>915</v>
      </c>
      <c r="D190" s="16" t="s">
        <v>18</v>
      </c>
      <c r="E190" s="17">
        <v>449.8</v>
      </c>
      <c r="F190" s="9">
        <f t="shared" si="6"/>
        <v>440.80400000000003</v>
      </c>
      <c r="G190" s="27">
        <f t="shared" si="7"/>
        <v>220.40200000000002</v>
      </c>
      <c r="H190" s="25">
        <f t="shared" si="8"/>
        <v>595.08540000000005</v>
      </c>
    </row>
    <row r="191" spans="1:8" ht="30" customHeight="1" x14ac:dyDescent="0.25">
      <c r="A191" s="18" t="s">
        <v>914</v>
      </c>
      <c r="B191" s="18" t="s">
        <v>707</v>
      </c>
      <c r="C191" s="18" t="s">
        <v>916</v>
      </c>
      <c r="D191" s="18">
        <v>6</v>
      </c>
      <c r="E191" s="19">
        <v>449.8</v>
      </c>
      <c r="F191" s="9">
        <f t="shared" si="6"/>
        <v>440.80400000000003</v>
      </c>
      <c r="G191" s="27">
        <f t="shared" si="7"/>
        <v>220.40200000000002</v>
      </c>
      <c r="H191" s="25">
        <f t="shared" si="8"/>
        <v>595.08540000000005</v>
      </c>
    </row>
    <row r="192" spans="1:8" ht="30" customHeight="1" x14ac:dyDescent="0.25">
      <c r="A192" s="16" t="s">
        <v>914</v>
      </c>
      <c r="B192" s="16" t="s">
        <v>707</v>
      </c>
      <c r="C192" s="16" t="s">
        <v>917</v>
      </c>
      <c r="D192" s="16" t="s">
        <v>18</v>
      </c>
      <c r="E192" s="17">
        <v>449.8</v>
      </c>
      <c r="F192" s="9">
        <f t="shared" si="6"/>
        <v>440.80400000000003</v>
      </c>
      <c r="G192" s="27">
        <f t="shared" si="7"/>
        <v>220.40200000000002</v>
      </c>
      <c r="H192" s="25">
        <f t="shared" si="8"/>
        <v>595.08540000000005</v>
      </c>
    </row>
    <row r="193" spans="1:8" ht="30" customHeight="1" x14ac:dyDescent="0.25">
      <c r="A193" s="18" t="s">
        <v>914</v>
      </c>
      <c r="B193" s="18" t="s">
        <v>336</v>
      </c>
      <c r="C193" s="18" t="s">
        <v>918</v>
      </c>
      <c r="D193" s="18" t="s">
        <v>18</v>
      </c>
      <c r="E193" s="19">
        <v>449.8</v>
      </c>
      <c r="F193" s="9">
        <f t="shared" si="6"/>
        <v>440.80400000000003</v>
      </c>
      <c r="G193" s="27">
        <f t="shared" si="7"/>
        <v>220.40200000000002</v>
      </c>
      <c r="H193" s="25">
        <f t="shared" si="8"/>
        <v>595.08540000000005</v>
      </c>
    </row>
    <row r="194" spans="1:8" ht="30" customHeight="1" x14ac:dyDescent="0.25">
      <c r="A194" s="16" t="s">
        <v>914</v>
      </c>
      <c r="B194" s="16" t="s">
        <v>336</v>
      </c>
      <c r="C194" s="16" t="s">
        <v>919</v>
      </c>
      <c r="D194" s="16">
        <v>5.2</v>
      </c>
      <c r="E194" s="17">
        <v>449.8</v>
      </c>
      <c r="F194" s="9">
        <f t="shared" si="6"/>
        <v>440.80400000000003</v>
      </c>
      <c r="G194" s="27">
        <f t="shared" si="7"/>
        <v>220.40200000000002</v>
      </c>
      <c r="H194" s="25">
        <f t="shared" si="8"/>
        <v>595.08540000000005</v>
      </c>
    </row>
    <row r="195" spans="1:8" ht="30" customHeight="1" x14ac:dyDescent="0.25">
      <c r="A195" s="18" t="s">
        <v>914</v>
      </c>
      <c r="B195" s="18" t="s">
        <v>698</v>
      </c>
      <c r="C195" s="18" t="s">
        <v>920</v>
      </c>
      <c r="D195" s="18">
        <v>4</v>
      </c>
      <c r="E195" s="19">
        <v>449.8</v>
      </c>
      <c r="F195" s="9">
        <f t="shared" ref="F195:F211" si="9">E195*0.98</f>
        <v>440.80400000000003</v>
      </c>
      <c r="G195" s="27">
        <f t="shared" ref="G195:G211" si="10">F195/2</f>
        <v>220.40200000000002</v>
      </c>
      <c r="H195" s="25">
        <f t="shared" ref="H195:H211" si="11">F195*1.35</f>
        <v>595.08540000000005</v>
      </c>
    </row>
    <row r="196" spans="1:8" ht="30" customHeight="1" x14ac:dyDescent="0.25">
      <c r="A196" s="16" t="s">
        <v>914</v>
      </c>
      <c r="B196" s="16" t="s">
        <v>358</v>
      </c>
      <c r="C196" s="16" t="s">
        <v>921</v>
      </c>
      <c r="D196" s="16">
        <v>1.5</v>
      </c>
      <c r="E196" s="17">
        <v>449.8</v>
      </c>
      <c r="F196" s="9">
        <f t="shared" si="9"/>
        <v>440.80400000000003</v>
      </c>
      <c r="G196" s="27">
        <f t="shared" si="10"/>
        <v>220.40200000000002</v>
      </c>
      <c r="H196" s="25">
        <f t="shared" si="11"/>
        <v>595.08540000000005</v>
      </c>
    </row>
    <row r="197" spans="1:8" ht="30" customHeight="1" x14ac:dyDescent="0.25">
      <c r="A197" s="18" t="s">
        <v>914</v>
      </c>
      <c r="B197" s="18" t="s">
        <v>358</v>
      </c>
      <c r="C197" s="18" t="s">
        <v>922</v>
      </c>
      <c r="D197" s="18" t="s">
        <v>18</v>
      </c>
      <c r="E197" s="19">
        <v>449.8</v>
      </c>
      <c r="F197" s="9">
        <f t="shared" si="9"/>
        <v>440.80400000000003</v>
      </c>
      <c r="G197" s="27">
        <f t="shared" si="10"/>
        <v>220.40200000000002</v>
      </c>
      <c r="H197" s="25">
        <f t="shared" si="11"/>
        <v>595.08540000000005</v>
      </c>
    </row>
    <row r="198" spans="1:8" ht="30" customHeight="1" x14ac:dyDescent="0.25">
      <c r="A198" s="16" t="s">
        <v>914</v>
      </c>
      <c r="B198" s="16" t="s">
        <v>381</v>
      </c>
      <c r="C198" s="16" t="s">
        <v>923</v>
      </c>
      <c r="D198" s="16">
        <v>5</v>
      </c>
      <c r="E198" s="17">
        <v>449.8</v>
      </c>
      <c r="F198" s="9">
        <f t="shared" si="9"/>
        <v>440.80400000000003</v>
      </c>
      <c r="G198" s="27">
        <f t="shared" si="10"/>
        <v>220.40200000000002</v>
      </c>
      <c r="H198" s="25">
        <f t="shared" si="11"/>
        <v>595.08540000000005</v>
      </c>
    </row>
    <row r="199" spans="1:8" ht="30" customHeight="1" x14ac:dyDescent="0.25">
      <c r="A199" s="18" t="s">
        <v>914</v>
      </c>
      <c r="B199" s="18" t="s">
        <v>644</v>
      </c>
      <c r="C199" s="18" t="s">
        <v>924</v>
      </c>
      <c r="D199" s="18" t="s">
        <v>18</v>
      </c>
      <c r="E199" s="19">
        <v>449.8</v>
      </c>
      <c r="F199" s="9">
        <f t="shared" si="9"/>
        <v>440.80400000000003</v>
      </c>
      <c r="G199" s="27">
        <f t="shared" si="10"/>
        <v>220.40200000000002</v>
      </c>
      <c r="H199" s="25">
        <f t="shared" si="11"/>
        <v>595.08540000000005</v>
      </c>
    </row>
    <row r="200" spans="1:8" ht="30" customHeight="1" x14ac:dyDescent="0.25">
      <c r="A200" s="16" t="s">
        <v>925</v>
      </c>
      <c r="B200" s="16" t="s">
        <v>707</v>
      </c>
      <c r="C200" s="16" t="s">
        <v>926</v>
      </c>
      <c r="D200" s="16">
        <v>5.9</v>
      </c>
      <c r="E200" s="17">
        <v>656.74</v>
      </c>
      <c r="F200" s="9">
        <f t="shared" si="9"/>
        <v>643.60519999999997</v>
      </c>
      <c r="G200" s="27">
        <f t="shared" si="10"/>
        <v>321.80259999999998</v>
      </c>
      <c r="H200" s="25">
        <f t="shared" si="11"/>
        <v>868.86702000000002</v>
      </c>
    </row>
    <row r="201" spans="1:8" ht="30" customHeight="1" x14ac:dyDescent="0.25">
      <c r="A201" s="18" t="s">
        <v>925</v>
      </c>
      <c r="B201" s="18" t="s">
        <v>707</v>
      </c>
      <c r="C201" s="18" t="s">
        <v>927</v>
      </c>
      <c r="D201" s="18">
        <v>5.9</v>
      </c>
      <c r="E201" s="19">
        <v>656.74</v>
      </c>
      <c r="F201" s="9">
        <f t="shared" si="9"/>
        <v>643.60519999999997</v>
      </c>
      <c r="G201" s="27">
        <f t="shared" si="10"/>
        <v>321.80259999999998</v>
      </c>
      <c r="H201" s="25">
        <f t="shared" si="11"/>
        <v>868.86702000000002</v>
      </c>
    </row>
    <row r="202" spans="1:8" ht="30" customHeight="1" x14ac:dyDescent="0.25">
      <c r="A202" s="16" t="s">
        <v>925</v>
      </c>
      <c r="B202" s="16" t="s">
        <v>707</v>
      </c>
      <c r="C202" s="16" t="s">
        <v>928</v>
      </c>
      <c r="D202" s="16">
        <v>5.9</v>
      </c>
      <c r="E202" s="17">
        <v>656.74</v>
      </c>
      <c r="F202" s="9">
        <f t="shared" si="9"/>
        <v>643.60519999999997</v>
      </c>
      <c r="G202" s="27">
        <f t="shared" si="10"/>
        <v>321.80259999999998</v>
      </c>
      <c r="H202" s="25">
        <f t="shared" si="11"/>
        <v>868.86702000000002</v>
      </c>
    </row>
    <row r="203" spans="1:8" ht="30" customHeight="1" x14ac:dyDescent="0.25">
      <c r="A203" s="18" t="s">
        <v>925</v>
      </c>
      <c r="B203" s="18" t="s">
        <v>698</v>
      </c>
      <c r="C203" s="18" t="s">
        <v>929</v>
      </c>
      <c r="D203" s="18">
        <v>6.75</v>
      </c>
      <c r="E203" s="19">
        <v>656.74</v>
      </c>
      <c r="F203" s="9">
        <f t="shared" si="9"/>
        <v>643.60519999999997</v>
      </c>
      <c r="G203" s="27">
        <f t="shared" si="10"/>
        <v>321.80259999999998</v>
      </c>
      <c r="H203" s="25">
        <f t="shared" si="11"/>
        <v>868.86702000000002</v>
      </c>
    </row>
    <row r="204" spans="1:8" ht="30" customHeight="1" x14ac:dyDescent="0.25">
      <c r="A204" s="16" t="s">
        <v>925</v>
      </c>
      <c r="B204" s="16" t="s">
        <v>698</v>
      </c>
      <c r="C204" s="16" t="s">
        <v>930</v>
      </c>
      <c r="D204" s="16">
        <v>6</v>
      </c>
      <c r="E204" s="17">
        <v>656.74</v>
      </c>
      <c r="F204" s="9">
        <f t="shared" si="9"/>
        <v>643.60519999999997</v>
      </c>
      <c r="G204" s="27">
        <f t="shared" si="10"/>
        <v>321.80259999999998</v>
      </c>
      <c r="H204" s="25">
        <f t="shared" si="11"/>
        <v>868.86702000000002</v>
      </c>
    </row>
    <row r="205" spans="1:8" ht="30" customHeight="1" x14ac:dyDescent="0.25">
      <c r="A205" s="18" t="s">
        <v>925</v>
      </c>
      <c r="B205" s="18" t="s">
        <v>698</v>
      </c>
      <c r="C205" s="18" t="s">
        <v>931</v>
      </c>
      <c r="D205" s="18">
        <v>6</v>
      </c>
      <c r="E205" s="19">
        <v>656.74</v>
      </c>
      <c r="F205" s="9">
        <f t="shared" si="9"/>
        <v>643.60519999999997</v>
      </c>
      <c r="G205" s="27">
        <f t="shared" si="10"/>
        <v>321.80259999999998</v>
      </c>
      <c r="H205" s="25">
        <f t="shared" si="11"/>
        <v>868.86702000000002</v>
      </c>
    </row>
    <row r="206" spans="1:8" ht="30" customHeight="1" x14ac:dyDescent="0.25">
      <c r="A206" s="16" t="s">
        <v>925</v>
      </c>
      <c r="B206" s="16" t="s">
        <v>932</v>
      </c>
      <c r="C206" s="16">
        <v>458</v>
      </c>
      <c r="D206" s="16">
        <v>6</v>
      </c>
      <c r="E206" s="17">
        <v>656.74</v>
      </c>
      <c r="F206" s="9">
        <f t="shared" si="9"/>
        <v>643.60519999999997</v>
      </c>
      <c r="G206" s="27">
        <f t="shared" si="10"/>
        <v>321.80259999999998</v>
      </c>
      <c r="H206" s="25">
        <f t="shared" si="11"/>
        <v>868.86702000000002</v>
      </c>
    </row>
    <row r="207" spans="1:8" ht="30" customHeight="1" x14ac:dyDescent="0.25">
      <c r="A207" s="18" t="s">
        <v>925</v>
      </c>
      <c r="B207" s="18" t="s">
        <v>932</v>
      </c>
      <c r="C207" s="18" t="s">
        <v>933</v>
      </c>
      <c r="D207" s="18">
        <v>4.3</v>
      </c>
      <c r="E207" s="19">
        <v>656.74</v>
      </c>
      <c r="F207" s="9">
        <f t="shared" si="9"/>
        <v>643.60519999999997</v>
      </c>
      <c r="G207" s="27">
        <f t="shared" si="10"/>
        <v>321.80259999999998</v>
      </c>
      <c r="H207" s="25">
        <f t="shared" si="11"/>
        <v>868.86702000000002</v>
      </c>
    </row>
    <row r="208" spans="1:8" ht="30" customHeight="1" x14ac:dyDescent="0.25">
      <c r="A208" s="16" t="s">
        <v>925</v>
      </c>
      <c r="B208" s="16" t="s">
        <v>932</v>
      </c>
      <c r="C208" s="16" t="s">
        <v>934</v>
      </c>
      <c r="D208" s="16" t="s">
        <v>935</v>
      </c>
      <c r="E208" s="17">
        <v>656.74</v>
      </c>
      <c r="F208" s="9">
        <f t="shared" si="9"/>
        <v>643.60519999999997</v>
      </c>
      <c r="G208" s="27">
        <f t="shared" si="10"/>
        <v>321.80259999999998</v>
      </c>
      <c r="H208" s="25">
        <f t="shared" si="11"/>
        <v>868.86702000000002</v>
      </c>
    </row>
    <row r="209" spans="1:8" ht="30" customHeight="1" x14ac:dyDescent="0.25">
      <c r="A209" s="18" t="s">
        <v>925</v>
      </c>
      <c r="B209" s="18" t="s">
        <v>936</v>
      </c>
      <c r="C209" s="18" t="s">
        <v>937</v>
      </c>
      <c r="D209" s="18">
        <v>4.9000000000000004</v>
      </c>
      <c r="E209" s="19">
        <v>656.74</v>
      </c>
      <c r="F209" s="9">
        <f t="shared" si="9"/>
        <v>643.60519999999997</v>
      </c>
      <c r="G209" s="27">
        <f t="shared" si="10"/>
        <v>321.80259999999998</v>
      </c>
      <c r="H209" s="25">
        <f t="shared" si="11"/>
        <v>868.86702000000002</v>
      </c>
    </row>
    <row r="210" spans="1:8" ht="30" customHeight="1" x14ac:dyDescent="0.25">
      <c r="A210" s="16" t="s">
        <v>925</v>
      </c>
      <c r="B210" s="16" t="s">
        <v>936</v>
      </c>
      <c r="C210" s="16" t="s">
        <v>938</v>
      </c>
      <c r="D210" s="16">
        <v>6.5</v>
      </c>
      <c r="E210" s="17">
        <v>656.74</v>
      </c>
      <c r="F210" s="9">
        <f t="shared" si="9"/>
        <v>643.60519999999997</v>
      </c>
      <c r="G210" s="27">
        <f t="shared" si="10"/>
        <v>321.80259999999998</v>
      </c>
      <c r="H210" s="25">
        <f t="shared" si="11"/>
        <v>868.86702000000002</v>
      </c>
    </row>
    <row r="211" spans="1:8" ht="30" customHeight="1" x14ac:dyDescent="0.25">
      <c r="A211" s="18" t="s">
        <v>925</v>
      </c>
      <c r="B211" s="18" t="s">
        <v>306</v>
      </c>
      <c r="C211" s="18" t="s">
        <v>939</v>
      </c>
      <c r="D211" s="18">
        <v>6.3</v>
      </c>
      <c r="E211" s="19">
        <v>656.74</v>
      </c>
      <c r="F211" s="9">
        <f t="shared" si="9"/>
        <v>643.60519999999997</v>
      </c>
      <c r="G211" s="27">
        <f t="shared" si="10"/>
        <v>321.80259999999998</v>
      </c>
      <c r="H211" s="25">
        <f t="shared" si="11"/>
        <v>868.86702000000002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5CD-5359-4113-B41A-BD771C02643E}">
  <dimension ref="A1:J31"/>
  <sheetViews>
    <sheetView workbookViewId="0">
      <selection activeCell="N11" sqref="N11"/>
    </sheetView>
  </sheetViews>
  <sheetFormatPr defaultColWidth="8.7109375" defaultRowHeight="15" x14ac:dyDescent="0.25"/>
  <cols>
    <col min="1" max="1" width="23.28515625" style="22" bestFit="1" customWidth="1"/>
    <col min="2" max="2" width="3.7109375" style="22" hidden="1" customWidth="1"/>
    <col min="3" max="3" width="15.85546875" style="22" hidden="1" customWidth="1"/>
    <col min="4" max="4" width="42.5703125" style="22" hidden="1" customWidth="1"/>
    <col min="5" max="7" width="0" style="22" hidden="1" customWidth="1"/>
    <col min="8" max="8" width="24" style="24" customWidth="1"/>
    <col min="9" max="9" width="27.85546875" style="31" bestFit="1" customWidth="1"/>
    <col min="10" max="10" width="24.42578125" style="24" bestFit="1" customWidth="1"/>
    <col min="11" max="16384" width="8.7109375" style="22"/>
  </cols>
  <sheetData>
    <row r="1" spans="1:10" ht="24.95" customHeight="1" x14ac:dyDescent="0.25">
      <c r="A1" s="15" t="s">
        <v>973</v>
      </c>
      <c r="B1" s="15" t="s">
        <v>940</v>
      </c>
      <c r="C1" s="15" t="s">
        <v>941</v>
      </c>
      <c r="D1" s="15" t="s">
        <v>942</v>
      </c>
      <c r="E1" s="15" t="s">
        <v>2</v>
      </c>
      <c r="F1" s="15" t="s">
        <v>3</v>
      </c>
      <c r="G1" s="15" t="s">
        <v>970</v>
      </c>
      <c r="H1" s="7" t="s">
        <v>971</v>
      </c>
      <c r="I1" s="26" t="s">
        <v>1004</v>
      </c>
      <c r="J1" s="7" t="s">
        <v>972</v>
      </c>
    </row>
    <row r="2" spans="1:10" ht="24.95" customHeight="1" x14ac:dyDescent="0.25">
      <c r="A2" s="16" t="s">
        <v>974</v>
      </c>
      <c r="B2" s="16" t="s">
        <v>943</v>
      </c>
      <c r="C2" s="11" t="s">
        <v>944</v>
      </c>
      <c r="D2" s="16" t="s">
        <v>945</v>
      </c>
      <c r="E2" s="16" t="s">
        <v>946</v>
      </c>
      <c r="F2" s="17">
        <v>76.819999999999993</v>
      </c>
      <c r="G2" s="23">
        <v>0.12</v>
      </c>
      <c r="H2" s="9">
        <f>F2*1.12</f>
        <v>86.038399999999996</v>
      </c>
      <c r="I2" s="27">
        <f>H2/2</f>
        <v>43.019199999999998</v>
      </c>
      <c r="J2" s="9">
        <f>H2*1.35</f>
        <v>116.15184000000001</v>
      </c>
    </row>
    <row r="3" spans="1:10" ht="24.95" customHeight="1" x14ac:dyDescent="0.25">
      <c r="A3" s="18" t="s">
        <v>976</v>
      </c>
      <c r="B3" s="18" t="s">
        <v>943</v>
      </c>
      <c r="C3" s="11" t="s">
        <v>944</v>
      </c>
      <c r="D3" s="18" t="s">
        <v>947</v>
      </c>
      <c r="E3" s="18" t="s">
        <v>946</v>
      </c>
      <c r="F3" s="19">
        <v>102.42</v>
      </c>
      <c r="G3" s="23">
        <v>0.12</v>
      </c>
      <c r="H3" s="9">
        <f t="shared" ref="H3:H21" si="0">F3*1.12</f>
        <v>114.71040000000001</v>
      </c>
      <c r="I3" s="27">
        <f t="shared" ref="I3:I31" si="1">H3/2</f>
        <v>57.355200000000004</v>
      </c>
      <c r="J3" s="9">
        <f t="shared" ref="J3:J31" si="2">H3*1.35</f>
        <v>154.85904000000002</v>
      </c>
    </row>
    <row r="4" spans="1:10" ht="24.95" customHeight="1" x14ac:dyDescent="0.25">
      <c r="A4" s="16" t="s">
        <v>977</v>
      </c>
      <c r="B4" s="16" t="s">
        <v>943</v>
      </c>
      <c r="C4" s="16" t="s">
        <v>944</v>
      </c>
      <c r="D4" s="16" t="s">
        <v>948</v>
      </c>
      <c r="E4" s="16" t="s">
        <v>949</v>
      </c>
      <c r="F4" s="17">
        <v>96.01</v>
      </c>
      <c r="G4" s="23">
        <v>0.12</v>
      </c>
      <c r="H4" s="9">
        <f t="shared" si="0"/>
        <v>107.53120000000001</v>
      </c>
      <c r="I4" s="27">
        <f t="shared" si="1"/>
        <v>53.765600000000006</v>
      </c>
      <c r="J4" s="9">
        <f t="shared" si="2"/>
        <v>145.16712000000004</v>
      </c>
    </row>
    <row r="5" spans="1:10" ht="24.95" customHeight="1" x14ac:dyDescent="0.25">
      <c r="A5" s="18" t="s">
        <v>978</v>
      </c>
      <c r="B5" s="18" t="s">
        <v>943</v>
      </c>
      <c r="C5" s="18" t="s">
        <v>944</v>
      </c>
      <c r="D5" s="18" t="s">
        <v>950</v>
      </c>
      <c r="E5" s="18" t="s">
        <v>949</v>
      </c>
      <c r="F5" s="19">
        <v>121.64</v>
      </c>
      <c r="G5" s="23">
        <v>0.12</v>
      </c>
      <c r="H5" s="9">
        <f t="shared" si="0"/>
        <v>136.23680000000002</v>
      </c>
      <c r="I5" s="27">
        <f t="shared" si="1"/>
        <v>68.118400000000008</v>
      </c>
      <c r="J5" s="9">
        <f t="shared" si="2"/>
        <v>183.91968000000003</v>
      </c>
    </row>
    <row r="6" spans="1:10" ht="24.95" customHeight="1" x14ac:dyDescent="0.25">
      <c r="A6" s="16" t="s">
        <v>975</v>
      </c>
      <c r="B6" s="16" t="s">
        <v>943</v>
      </c>
      <c r="C6" s="16" t="s">
        <v>951</v>
      </c>
      <c r="D6" s="16" t="s">
        <v>945</v>
      </c>
      <c r="E6" s="16" t="s">
        <v>946</v>
      </c>
      <c r="F6" s="17">
        <v>52.29</v>
      </c>
      <c r="G6" s="23">
        <v>0.12</v>
      </c>
      <c r="H6" s="9">
        <f t="shared" si="0"/>
        <v>58.564800000000005</v>
      </c>
      <c r="I6" s="27">
        <f t="shared" si="1"/>
        <v>29.282400000000003</v>
      </c>
      <c r="J6" s="9">
        <f t="shared" si="2"/>
        <v>79.062480000000008</v>
      </c>
    </row>
    <row r="7" spans="1:10" ht="24.95" customHeight="1" x14ac:dyDescent="0.25">
      <c r="A7" s="18" t="s">
        <v>979</v>
      </c>
      <c r="B7" s="18" t="s">
        <v>943</v>
      </c>
      <c r="C7" s="18" t="s">
        <v>951</v>
      </c>
      <c r="D7" s="18" t="s">
        <v>947</v>
      </c>
      <c r="E7" s="18" t="s">
        <v>946</v>
      </c>
      <c r="F7" s="19">
        <v>71.69</v>
      </c>
      <c r="G7" s="23">
        <v>0.12</v>
      </c>
      <c r="H7" s="9">
        <f t="shared" si="0"/>
        <v>80.2928</v>
      </c>
      <c r="I7" s="27">
        <f t="shared" si="1"/>
        <v>40.1464</v>
      </c>
      <c r="J7" s="9">
        <f t="shared" si="2"/>
        <v>108.39528000000001</v>
      </c>
    </row>
    <row r="8" spans="1:10" ht="24.95" customHeight="1" x14ac:dyDescent="0.25">
      <c r="A8" s="16" t="s">
        <v>980</v>
      </c>
      <c r="B8" s="16" t="s">
        <v>943</v>
      </c>
      <c r="C8" s="16" t="s">
        <v>951</v>
      </c>
      <c r="D8" s="16" t="s">
        <v>948</v>
      </c>
      <c r="E8" s="16" t="s">
        <v>949</v>
      </c>
      <c r="F8" s="17">
        <v>64.010000000000005</v>
      </c>
      <c r="G8" s="23">
        <v>0.12</v>
      </c>
      <c r="H8" s="9">
        <f t="shared" si="0"/>
        <v>71.691200000000009</v>
      </c>
      <c r="I8" s="27">
        <f t="shared" si="1"/>
        <v>35.845600000000005</v>
      </c>
      <c r="J8" s="9">
        <f t="shared" si="2"/>
        <v>96.783120000000025</v>
      </c>
    </row>
    <row r="9" spans="1:10" ht="24.95" customHeight="1" x14ac:dyDescent="0.25">
      <c r="A9" s="18" t="s">
        <v>981</v>
      </c>
      <c r="B9" s="18" t="s">
        <v>943</v>
      </c>
      <c r="C9" s="18" t="s">
        <v>951</v>
      </c>
      <c r="D9" s="18" t="s">
        <v>950</v>
      </c>
      <c r="E9" s="18" t="s">
        <v>949</v>
      </c>
      <c r="F9" s="19">
        <v>84.49</v>
      </c>
      <c r="G9" s="23">
        <v>0.12</v>
      </c>
      <c r="H9" s="9">
        <f t="shared" si="0"/>
        <v>94.628799999999998</v>
      </c>
      <c r="I9" s="27">
        <f t="shared" si="1"/>
        <v>47.314399999999999</v>
      </c>
      <c r="J9" s="9">
        <f t="shared" si="2"/>
        <v>127.74888</v>
      </c>
    </row>
    <row r="10" spans="1:10" ht="24.95" customHeight="1" x14ac:dyDescent="0.25">
      <c r="A10" s="16" t="s">
        <v>982</v>
      </c>
      <c r="B10" s="16" t="s">
        <v>952</v>
      </c>
      <c r="C10" s="16" t="s">
        <v>953</v>
      </c>
      <c r="D10" s="16" t="s">
        <v>954</v>
      </c>
      <c r="E10" s="16" t="s">
        <v>533</v>
      </c>
      <c r="F10" s="17">
        <v>96.01</v>
      </c>
      <c r="G10" s="23">
        <v>0.12</v>
      </c>
      <c r="H10" s="9">
        <f t="shared" si="0"/>
        <v>107.53120000000001</v>
      </c>
      <c r="I10" s="27">
        <f t="shared" si="1"/>
        <v>53.765600000000006</v>
      </c>
      <c r="J10" s="9">
        <f t="shared" si="2"/>
        <v>145.16712000000004</v>
      </c>
    </row>
    <row r="11" spans="1:10" ht="24.95" customHeight="1" x14ac:dyDescent="0.25">
      <c r="A11" s="18" t="s">
        <v>983</v>
      </c>
      <c r="B11" s="18" t="s">
        <v>952</v>
      </c>
      <c r="C11" s="18" t="s">
        <v>944</v>
      </c>
      <c r="D11" s="18" t="s">
        <v>955</v>
      </c>
      <c r="E11" s="18" t="s">
        <v>533</v>
      </c>
      <c r="F11" s="19">
        <v>127.57</v>
      </c>
      <c r="G11" s="23">
        <v>0.12</v>
      </c>
      <c r="H11" s="9">
        <f t="shared" si="0"/>
        <v>142.8784</v>
      </c>
      <c r="I11" s="27">
        <f t="shared" si="1"/>
        <v>71.4392</v>
      </c>
      <c r="J11" s="9">
        <f t="shared" si="2"/>
        <v>192.88584</v>
      </c>
    </row>
    <row r="12" spans="1:10" ht="24.95" customHeight="1" x14ac:dyDescent="0.25">
      <c r="A12" s="16" t="s">
        <v>984</v>
      </c>
      <c r="B12" s="16" t="s">
        <v>952</v>
      </c>
      <c r="C12" s="16" t="s">
        <v>951</v>
      </c>
      <c r="D12" s="16" t="s">
        <v>954</v>
      </c>
      <c r="E12" s="16" t="s">
        <v>533</v>
      </c>
      <c r="F12" s="17">
        <v>64.010000000000005</v>
      </c>
      <c r="G12" s="23">
        <v>0.12</v>
      </c>
      <c r="H12" s="9">
        <f t="shared" si="0"/>
        <v>71.691200000000009</v>
      </c>
      <c r="I12" s="27">
        <f t="shared" si="1"/>
        <v>35.845600000000005</v>
      </c>
      <c r="J12" s="9">
        <f t="shared" si="2"/>
        <v>96.783120000000025</v>
      </c>
    </row>
    <row r="13" spans="1:10" ht="24.95" customHeight="1" x14ac:dyDescent="0.25">
      <c r="A13" s="18" t="s">
        <v>985</v>
      </c>
      <c r="B13" s="18" t="s">
        <v>952</v>
      </c>
      <c r="C13" s="18" t="s">
        <v>951</v>
      </c>
      <c r="D13" s="18" t="s">
        <v>955</v>
      </c>
      <c r="E13" s="18" t="s">
        <v>533</v>
      </c>
      <c r="F13" s="19">
        <v>88.61</v>
      </c>
      <c r="G13" s="23">
        <v>0.12</v>
      </c>
      <c r="H13" s="9">
        <f t="shared" si="0"/>
        <v>99.243200000000016</v>
      </c>
      <c r="I13" s="27">
        <f t="shared" si="1"/>
        <v>49.621600000000008</v>
      </c>
      <c r="J13" s="9">
        <f t="shared" si="2"/>
        <v>133.97832000000002</v>
      </c>
    </row>
    <row r="14" spans="1:10" ht="24.95" customHeight="1" x14ac:dyDescent="0.25">
      <c r="A14" s="16" t="s">
        <v>986</v>
      </c>
      <c r="B14" s="16" t="s">
        <v>956</v>
      </c>
      <c r="C14" s="16" t="s">
        <v>957</v>
      </c>
      <c r="D14" s="16" t="s">
        <v>958</v>
      </c>
      <c r="E14" s="16" t="s">
        <v>533</v>
      </c>
      <c r="F14" s="17">
        <v>87.06</v>
      </c>
      <c r="G14" s="23">
        <v>0.12</v>
      </c>
      <c r="H14" s="9">
        <f t="shared" si="0"/>
        <v>97.507200000000012</v>
      </c>
      <c r="I14" s="27">
        <f t="shared" si="1"/>
        <v>48.753600000000006</v>
      </c>
      <c r="J14" s="9">
        <f t="shared" si="2"/>
        <v>131.63472000000002</v>
      </c>
    </row>
    <row r="15" spans="1:10" ht="24.95" customHeight="1" x14ac:dyDescent="0.25">
      <c r="A15" s="18" t="s">
        <v>987</v>
      </c>
      <c r="B15" s="18" t="s">
        <v>956</v>
      </c>
      <c r="C15" s="18" t="s">
        <v>957</v>
      </c>
      <c r="D15" s="18" t="s">
        <v>959</v>
      </c>
      <c r="E15" s="18" t="s">
        <v>533</v>
      </c>
      <c r="F15" s="19">
        <v>117.78</v>
      </c>
      <c r="G15" s="23">
        <v>0.12</v>
      </c>
      <c r="H15" s="9">
        <f t="shared" si="0"/>
        <v>131.9136</v>
      </c>
      <c r="I15" s="27">
        <f t="shared" si="1"/>
        <v>65.956800000000001</v>
      </c>
      <c r="J15" s="9">
        <f t="shared" si="2"/>
        <v>178.08336000000003</v>
      </c>
    </row>
    <row r="16" spans="1:10" ht="24.95" customHeight="1" x14ac:dyDescent="0.25">
      <c r="A16" s="16" t="s">
        <v>988</v>
      </c>
      <c r="B16" s="16" t="s">
        <v>956</v>
      </c>
      <c r="C16" s="16" t="s">
        <v>957</v>
      </c>
      <c r="D16" s="16" t="s">
        <v>960</v>
      </c>
      <c r="E16" s="16" t="s">
        <v>533</v>
      </c>
      <c r="F16" s="17">
        <v>99.87</v>
      </c>
      <c r="G16" s="23">
        <v>0.12</v>
      </c>
      <c r="H16" s="9">
        <f t="shared" si="0"/>
        <v>111.85440000000001</v>
      </c>
      <c r="I16" s="27">
        <f t="shared" si="1"/>
        <v>55.927200000000006</v>
      </c>
      <c r="J16" s="9">
        <f t="shared" si="2"/>
        <v>151.00344000000004</v>
      </c>
    </row>
    <row r="17" spans="1:10" ht="24.95" customHeight="1" x14ac:dyDescent="0.25">
      <c r="A17" s="18" t="s">
        <v>989</v>
      </c>
      <c r="B17" s="18" t="s">
        <v>956</v>
      </c>
      <c r="C17" s="18" t="s">
        <v>957</v>
      </c>
      <c r="D17" s="18" t="s">
        <v>961</v>
      </c>
      <c r="E17" s="18" t="s">
        <v>533</v>
      </c>
      <c r="F17" s="19">
        <v>130.57</v>
      </c>
      <c r="G17" s="23">
        <v>0.12</v>
      </c>
      <c r="H17" s="9">
        <f t="shared" si="0"/>
        <v>146.23840000000001</v>
      </c>
      <c r="I17" s="27">
        <f t="shared" si="1"/>
        <v>73.119200000000006</v>
      </c>
      <c r="J17" s="9">
        <f t="shared" si="2"/>
        <v>197.42184000000003</v>
      </c>
    </row>
    <row r="18" spans="1:10" ht="24.95" customHeight="1" x14ac:dyDescent="0.25">
      <c r="A18" s="16" t="s">
        <v>990</v>
      </c>
      <c r="B18" s="16" t="s">
        <v>956</v>
      </c>
      <c r="C18" s="16" t="s">
        <v>962</v>
      </c>
      <c r="D18" s="16" t="s">
        <v>958</v>
      </c>
      <c r="E18" s="16" t="s">
        <v>533</v>
      </c>
      <c r="F18" s="17">
        <v>61.44</v>
      </c>
      <c r="G18" s="23">
        <v>0.12</v>
      </c>
      <c r="H18" s="9">
        <f t="shared" si="0"/>
        <v>68.81280000000001</v>
      </c>
      <c r="I18" s="27">
        <f t="shared" si="1"/>
        <v>34.406400000000005</v>
      </c>
      <c r="J18" s="9">
        <f t="shared" si="2"/>
        <v>92.897280000000023</v>
      </c>
    </row>
    <row r="19" spans="1:10" ht="24.95" customHeight="1" x14ac:dyDescent="0.25">
      <c r="A19" s="18" t="s">
        <v>991</v>
      </c>
      <c r="B19" s="18" t="s">
        <v>956</v>
      </c>
      <c r="C19" s="18" t="s">
        <v>962</v>
      </c>
      <c r="D19" s="18" t="s">
        <v>959</v>
      </c>
      <c r="E19" s="18" t="s">
        <v>533</v>
      </c>
      <c r="F19" s="19">
        <v>87.06</v>
      </c>
      <c r="G19" s="23">
        <v>0.12</v>
      </c>
      <c r="H19" s="9">
        <f t="shared" si="0"/>
        <v>97.507200000000012</v>
      </c>
      <c r="I19" s="27">
        <f t="shared" si="1"/>
        <v>48.753600000000006</v>
      </c>
      <c r="J19" s="9">
        <f t="shared" si="2"/>
        <v>131.63472000000002</v>
      </c>
    </row>
    <row r="20" spans="1:10" ht="24.95" customHeight="1" x14ac:dyDescent="0.25">
      <c r="A20" s="16" t="s">
        <v>992</v>
      </c>
      <c r="B20" s="16" t="s">
        <v>956</v>
      </c>
      <c r="C20" s="16" t="s">
        <v>962</v>
      </c>
      <c r="D20" s="16" t="s">
        <v>960</v>
      </c>
      <c r="E20" s="16" t="s">
        <v>533</v>
      </c>
      <c r="F20" s="17">
        <v>70.53</v>
      </c>
      <c r="G20" s="23">
        <v>0.12</v>
      </c>
      <c r="H20" s="9">
        <f t="shared" si="0"/>
        <v>78.993600000000015</v>
      </c>
      <c r="I20" s="27">
        <f t="shared" si="1"/>
        <v>39.496800000000007</v>
      </c>
      <c r="J20" s="9">
        <f t="shared" si="2"/>
        <v>106.64136000000002</v>
      </c>
    </row>
    <row r="21" spans="1:10" ht="24.95" customHeight="1" x14ac:dyDescent="0.25">
      <c r="A21" s="18" t="s">
        <v>993</v>
      </c>
      <c r="B21" s="18" t="s">
        <v>956</v>
      </c>
      <c r="C21" s="18" t="s">
        <v>962</v>
      </c>
      <c r="D21" s="18" t="s">
        <v>961</v>
      </c>
      <c r="E21" s="18" t="s">
        <v>533</v>
      </c>
      <c r="F21" s="19">
        <v>95.7</v>
      </c>
      <c r="G21" s="23">
        <v>0.12</v>
      </c>
      <c r="H21" s="9">
        <f t="shared" si="0"/>
        <v>107.18400000000001</v>
      </c>
      <c r="I21" s="27">
        <f t="shared" si="1"/>
        <v>53.592000000000006</v>
      </c>
      <c r="J21" s="9">
        <f t="shared" si="2"/>
        <v>144.69840000000002</v>
      </c>
    </row>
    <row r="22" spans="1:10" ht="24.95" customHeight="1" x14ac:dyDescent="0.25">
      <c r="A22" s="16" t="s">
        <v>994</v>
      </c>
      <c r="B22" s="16" t="s">
        <v>956</v>
      </c>
      <c r="C22" s="16" t="s">
        <v>944</v>
      </c>
      <c r="D22" s="16" t="s">
        <v>963</v>
      </c>
      <c r="E22" s="16" t="s">
        <v>533</v>
      </c>
      <c r="F22" s="17">
        <v>238.16</v>
      </c>
      <c r="G22" s="23">
        <v>0.05</v>
      </c>
      <c r="H22" s="9">
        <f>F22*1.05</f>
        <v>250.06800000000001</v>
      </c>
      <c r="I22" s="27">
        <f t="shared" si="1"/>
        <v>125.03400000000001</v>
      </c>
      <c r="J22" s="9">
        <f t="shared" si="2"/>
        <v>337.59180000000003</v>
      </c>
    </row>
    <row r="23" spans="1:10" ht="24.95" customHeight="1" x14ac:dyDescent="0.25">
      <c r="A23" s="18" t="s">
        <v>995</v>
      </c>
      <c r="B23" s="18" t="s">
        <v>956</v>
      </c>
      <c r="C23" s="18" t="s">
        <v>944</v>
      </c>
      <c r="D23" s="18" t="s">
        <v>964</v>
      </c>
      <c r="E23" s="18" t="s">
        <v>533</v>
      </c>
      <c r="F23" s="19">
        <v>192.05</v>
      </c>
      <c r="G23" s="23">
        <v>-0.02</v>
      </c>
      <c r="H23" s="9">
        <f>F23*0.98</f>
        <v>188.209</v>
      </c>
      <c r="I23" s="27">
        <f t="shared" si="1"/>
        <v>94.104500000000002</v>
      </c>
      <c r="J23" s="9">
        <f t="shared" si="2"/>
        <v>254.08215000000001</v>
      </c>
    </row>
    <row r="24" spans="1:10" ht="24.95" customHeight="1" x14ac:dyDescent="0.25">
      <c r="A24" s="16" t="s">
        <v>996</v>
      </c>
      <c r="B24" s="16" t="s">
        <v>956</v>
      </c>
      <c r="C24" s="16" t="s">
        <v>944</v>
      </c>
      <c r="D24" s="16" t="s">
        <v>965</v>
      </c>
      <c r="E24" s="16" t="s">
        <v>533</v>
      </c>
      <c r="F24" s="17">
        <v>224.03</v>
      </c>
      <c r="G24" s="23">
        <v>0.06</v>
      </c>
      <c r="H24" s="9">
        <f>F24*1.06</f>
        <v>237.4718</v>
      </c>
      <c r="I24" s="27">
        <f t="shared" si="1"/>
        <v>118.7359</v>
      </c>
      <c r="J24" s="9">
        <f t="shared" si="2"/>
        <v>320.58693</v>
      </c>
    </row>
    <row r="25" spans="1:10" ht="24.95" customHeight="1" x14ac:dyDescent="0.25">
      <c r="A25" s="18" t="s">
        <v>997</v>
      </c>
      <c r="B25" s="18" t="s">
        <v>956</v>
      </c>
      <c r="C25" s="18" t="s">
        <v>944</v>
      </c>
      <c r="D25" s="18" t="s">
        <v>966</v>
      </c>
      <c r="E25" s="18" t="s">
        <v>533</v>
      </c>
      <c r="F25" s="19">
        <v>339.4</v>
      </c>
      <c r="G25" s="23">
        <v>-0.14000000000000001</v>
      </c>
      <c r="H25" s="9">
        <f>F25*0.86</f>
        <v>291.88399999999996</v>
      </c>
      <c r="I25" s="27">
        <f t="shared" si="1"/>
        <v>145.94199999999998</v>
      </c>
      <c r="J25" s="9">
        <f t="shared" si="2"/>
        <v>394.04339999999996</v>
      </c>
    </row>
    <row r="26" spans="1:10" ht="24.95" customHeight="1" x14ac:dyDescent="0.25">
      <c r="A26" s="16" t="s">
        <v>998</v>
      </c>
      <c r="B26" s="16" t="s">
        <v>956</v>
      </c>
      <c r="C26" s="16" t="s">
        <v>967</v>
      </c>
      <c r="D26" s="16" t="s">
        <v>968</v>
      </c>
      <c r="E26" s="16" t="s">
        <v>533</v>
      </c>
      <c r="F26" s="17">
        <v>92.17</v>
      </c>
      <c r="G26" s="23">
        <v>0.12</v>
      </c>
      <c r="H26" s="9">
        <f>F26*1.12</f>
        <v>103.23040000000002</v>
      </c>
      <c r="I26" s="27">
        <f t="shared" si="1"/>
        <v>51.615200000000009</v>
      </c>
      <c r="J26" s="9">
        <f t="shared" si="2"/>
        <v>139.36104000000003</v>
      </c>
    </row>
    <row r="27" spans="1:10" ht="24.95" customHeight="1" x14ac:dyDescent="0.25">
      <c r="A27" s="18" t="s">
        <v>999</v>
      </c>
      <c r="B27" s="18" t="s">
        <v>956</v>
      </c>
      <c r="C27" s="18" t="s">
        <v>951</v>
      </c>
      <c r="D27" s="18" t="s">
        <v>963</v>
      </c>
      <c r="E27" s="18" t="s">
        <v>533</v>
      </c>
      <c r="F27" s="19">
        <v>178.65</v>
      </c>
      <c r="G27" s="23">
        <v>0.05</v>
      </c>
      <c r="H27" s="9">
        <f>F27*1.05</f>
        <v>187.58250000000001</v>
      </c>
      <c r="I27" s="27">
        <f t="shared" si="1"/>
        <v>93.791250000000005</v>
      </c>
      <c r="J27" s="9">
        <f t="shared" si="2"/>
        <v>253.23637500000004</v>
      </c>
    </row>
    <row r="28" spans="1:10" ht="24.95" customHeight="1" x14ac:dyDescent="0.25">
      <c r="A28" s="16" t="s">
        <v>1000</v>
      </c>
      <c r="B28" s="16" t="s">
        <v>956</v>
      </c>
      <c r="C28" s="16" t="s">
        <v>951</v>
      </c>
      <c r="D28" s="16" t="s">
        <v>964</v>
      </c>
      <c r="E28" s="16" t="s">
        <v>533</v>
      </c>
      <c r="F28" s="17">
        <v>140.82</v>
      </c>
      <c r="G28" s="23">
        <v>-0.02</v>
      </c>
      <c r="H28" s="9">
        <f>F28*0.98</f>
        <v>138.00359999999998</v>
      </c>
      <c r="I28" s="27">
        <f t="shared" si="1"/>
        <v>69.001799999999989</v>
      </c>
      <c r="J28" s="9">
        <f t="shared" si="2"/>
        <v>186.30485999999999</v>
      </c>
    </row>
    <row r="29" spans="1:10" ht="24.95" customHeight="1" x14ac:dyDescent="0.25">
      <c r="A29" s="18" t="s">
        <v>1001</v>
      </c>
      <c r="B29" s="18" t="s">
        <v>956</v>
      </c>
      <c r="C29" s="18" t="s">
        <v>951</v>
      </c>
      <c r="D29" s="18" t="s">
        <v>965</v>
      </c>
      <c r="E29" s="18" t="s">
        <v>533</v>
      </c>
      <c r="F29" s="19">
        <v>160.05000000000001</v>
      </c>
      <c r="G29" s="23">
        <v>0.06</v>
      </c>
      <c r="H29" s="9">
        <f>F29*1.06</f>
        <v>169.65300000000002</v>
      </c>
      <c r="I29" s="27">
        <f t="shared" si="1"/>
        <v>84.82650000000001</v>
      </c>
      <c r="J29" s="9">
        <f t="shared" si="2"/>
        <v>229.03155000000004</v>
      </c>
    </row>
    <row r="30" spans="1:10" ht="24.95" customHeight="1" x14ac:dyDescent="0.25">
      <c r="A30" s="16" t="s">
        <v>1002</v>
      </c>
      <c r="B30" s="16" t="s">
        <v>956</v>
      </c>
      <c r="C30" s="16" t="s">
        <v>951</v>
      </c>
      <c r="D30" s="16" t="s">
        <v>966</v>
      </c>
      <c r="E30" s="16" t="s">
        <v>533</v>
      </c>
      <c r="F30" s="17">
        <v>250.1</v>
      </c>
      <c r="G30" s="23">
        <v>-0.14000000000000001</v>
      </c>
      <c r="H30" s="9">
        <f>F30*0.86</f>
        <v>215.08599999999998</v>
      </c>
      <c r="I30" s="27">
        <f t="shared" si="1"/>
        <v>107.54299999999999</v>
      </c>
      <c r="J30" s="9">
        <f t="shared" si="2"/>
        <v>290.36610000000002</v>
      </c>
    </row>
    <row r="31" spans="1:10" ht="24.95" customHeight="1" x14ac:dyDescent="0.25">
      <c r="A31" s="18" t="s">
        <v>1003</v>
      </c>
      <c r="B31" s="18" t="s">
        <v>956</v>
      </c>
      <c r="C31" s="18" t="s">
        <v>969</v>
      </c>
      <c r="D31" s="18" t="s">
        <v>968</v>
      </c>
      <c r="E31" s="18" t="s">
        <v>533</v>
      </c>
      <c r="F31" s="19">
        <v>66.569999999999993</v>
      </c>
      <c r="G31" s="23">
        <v>0.12</v>
      </c>
      <c r="H31" s="9">
        <f>F31*1.12</f>
        <v>74.558400000000006</v>
      </c>
      <c r="I31" s="27">
        <f t="shared" si="1"/>
        <v>37.279200000000003</v>
      </c>
      <c r="J31" s="9">
        <f t="shared" si="2"/>
        <v>100.65384000000002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Standard</vt:lpstr>
      <vt:lpstr>MVP</vt:lpstr>
      <vt:lpstr>4 by 4</vt:lpstr>
      <vt:lpstr>Prestige</vt:lpstr>
      <vt:lpstr>Sports</vt:lpstr>
      <vt:lpstr>Private Hire Or Taxi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Rana</dc:creator>
  <cp:lastModifiedBy>Ayesha Rana</cp:lastModifiedBy>
  <dcterms:created xsi:type="dcterms:W3CDTF">2025-06-21T08:44:55Z</dcterms:created>
  <dcterms:modified xsi:type="dcterms:W3CDTF">2025-10-14T15:06:29Z</dcterms:modified>
</cp:coreProperties>
</file>